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ercohensolal/Downloads/"/>
    </mc:Choice>
  </mc:AlternateContent>
  <xr:revisionPtr revIDLastSave="0" documentId="8_{A6F59C39-110A-5044-8EC7-37B0039F0E9F}" xr6:coauthVersionLast="47" xr6:coauthVersionMax="47" xr10:uidLastSave="{00000000-0000-0000-0000-000000000000}"/>
  <bookViews>
    <workbookView xWindow="3480" yWindow="2700" windowWidth="27640" windowHeight="16680" xr2:uid="{B213AD5D-409C-3D4D-8B20-B53738E2A4E2}"/>
  </bookViews>
  <sheets>
    <sheet name="CRYPTO" sheetId="1" r:id="rId1"/>
  </sheets>
  <definedNames>
    <definedName name="_xlnm._FilterDatabase" localSheetId="0" hidden="1">CRYPTO!$A$1:$G$66</definedName>
  </definedNames>
  <calcPr calcId="18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4" i="1" l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E35" i="1"/>
  <c r="G34" i="1"/>
  <c r="E33" i="1"/>
  <c r="G33" i="1" s="1"/>
  <c r="F32" i="1"/>
  <c r="G32" i="1" s="1"/>
  <c r="E32" i="1"/>
  <c r="G31" i="1"/>
  <c r="G30" i="1"/>
  <c r="G29" i="1"/>
  <c r="G28" i="1"/>
  <c r="G27" i="1"/>
  <c r="G26" i="1"/>
  <c r="G25" i="1"/>
  <c r="G24" i="1"/>
  <c r="G23" i="1"/>
  <c r="E23" i="1"/>
  <c r="G22" i="1"/>
  <c r="E22" i="1"/>
  <c r="E21" i="1"/>
  <c r="G21" i="1" s="1"/>
  <c r="E20" i="1"/>
  <c r="G20" i="1" s="1"/>
  <c r="G19" i="1"/>
  <c r="E19" i="1"/>
  <c r="G18" i="1"/>
  <c r="E18" i="1"/>
  <c r="E17" i="1"/>
  <c r="G17" i="1" s="1"/>
  <c r="E16" i="1"/>
  <c r="G16" i="1" s="1"/>
  <c r="G15" i="1"/>
  <c r="E15" i="1"/>
  <c r="G14" i="1"/>
  <c r="E14" i="1"/>
  <c r="E13" i="1"/>
  <c r="G13" i="1" s="1"/>
  <c r="S12" i="1"/>
  <c r="E12" i="1"/>
  <c r="G12" i="1" s="1"/>
  <c r="E11" i="1"/>
  <c r="G11" i="1" s="1"/>
  <c r="G10" i="1"/>
  <c r="G9" i="1"/>
  <c r="G8" i="1"/>
  <c r="G7" i="1"/>
  <c r="AE4" i="1"/>
  <c r="AE5" i="1" s="1"/>
  <c r="T3" i="1"/>
  <c r="L2" i="1"/>
  <c r="K2" i="1"/>
  <c r="J2" i="1" l="1"/>
  <c r="U12" i="1" s="1"/>
  <c r="V12" i="1" l="1"/>
  <c r="V13" i="1" s="1"/>
  <c r="X12" i="1"/>
  <c r="W12" i="1"/>
</calcChain>
</file>

<file path=xl/sharedStrings.xml><?xml version="1.0" encoding="utf-8"?>
<sst xmlns="http://schemas.openxmlformats.org/spreadsheetml/2006/main" count="219" uniqueCount="42">
  <si>
    <t>Date</t>
  </si>
  <si>
    <t>Plateforme</t>
  </si>
  <si>
    <t>Devise</t>
  </si>
  <si>
    <t>Opération</t>
  </si>
  <si>
    <t>Quantité</t>
  </si>
  <si>
    <t>Valo en EUR</t>
  </si>
  <si>
    <t>Prix crypto</t>
  </si>
  <si>
    <t>€ en stock</t>
  </si>
  <si>
    <t>€ injecté</t>
  </si>
  <si>
    <t>€ soutiré</t>
  </si>
  <si>
    <t>Exemple</t>
  </si>
  <si>
    <t>Kraken</t>
  </si>
  <si>
    <t>BTC</t>
  </si>
  <si>
    <t>VENTE</t>
  </si>
  <si>
    <t>Jeton</t>
  </si>
  <si>
    <t>Valeur €</t>
  </si>
  <si>
    <t>€/jeton</t>
  </si>
  <si>
    <t>Stock €</t>
  </si>
  <si>
    <t>MtM</t>
  </si>
  <si>
    <t>Multiple</t>
  </si>
  <si>
    <t>Perf.</t>
  </si>
  <si>
    <t>VALO PTF</t>
  </si>
  <si>
    <t>STOCK</t>
  </si>
  <si>
    <t>Opérations</t>
  </si>
  <si>
    <t/>
  </si>
  <si>
    <t>ETH</t>
  </si>
  <si>
    <t>SOUTIR</t>
  </si>
  <si>
    <t>Montant vente</t>
  </si>
  <si>
    <t>Valo Crypto</t>
  </si>
  <si>
    <t>+/- value</t>
  </si>
  <si>
    <t>POL</t>
  </si>
  <si>
    <t>GAIN</t>
  </si>
  <si>
    <t>ACHAT</t>
  </si>
  <si>
    <t>TOTAL</t>
  </si>
  <si>
    <t>Impot théo.</t>
  </si>
  <si>
    <t>USDT</t>
  </si>
  <si>
    <t>AVAX</t>
  </si>
  <si>
    <t>MATIC</t>
  </si>
  <si>
    <t>PAXGOLD</t>
  </si>
  <si>
    <t>LINK</t>
  </si>
  <si>
    <t>Deblock</t>
  </si>
  <si>
    <t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</si>
</sst>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000"/>
    <numFmt numFmtId="166" formatCode="#,##0.000000"/>
    <numFmt numFmtId="167" formatCode="#,##0.0"/>
    <numFmt numFmtId="168" formatCode="#,##0.00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1A1B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lightUp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4" fontId="4" fillId="0" borderId="1" xfId="0" applyNumberFormat="1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2"/>
    </xf>
    <xf numFmtId="164" fontId="4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2"/>
    </xf>
    <xf numFmtId="164" fontId="5" fillId="0" borderId="1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2" fillId="2" borderId="0" xfId="0" applyNumberFormat="1" applyFont="1" applyFill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 indent="1"/>
    </xf>
    <xf numFmtId="3" fontId="5" fillId="0" borderId="1" xfId="0" applyNumberFormat="1" applyFont="1" applyBorder="1" applyAlignment="1">
      <alignment horizontal="right" vertical="center" indent="1"/>
    </xf>
    <xf numFmtId="4" fontId="5" fillId="0" borderId="1" xfId="0" applyNumberFormat="1" applyFont="1" applyBorder="1" applyAlignment="1">
      <alignment horizontal="right" vertical="center" indent="1"/>
    </xf>
    <xf numFmtId="4" fontId="5" fillId="3" borderId="1" xfId="0" applyNumberFormat="1" applyFont="1" applyFill="1" applyBorder="1" applyAlignment="1">
      <alignment horizontal="right" vertical="center" indent="1"/>
    </xf>
    <xf numFmtId="3" fontId="7" fillId="0" borderId="0" xfId="0" applyNumberFormat="1" applyFont="1"/>
    <xf numFmtId="164" fontId="5" fillId="0" borderId="1" xfId="0" applyNumberFormat="1" applyFont="1" applyBorder="1" applyAlignment="1">
      <alignment horizontal="right" vertical="center" indent="1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left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left" vertical="center" indent="2"/>
    </xf>
    <xf numFmtId="167" fontId="5" fillId="0" borderId="1" xfId="0" applyNumberFormat="1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indent="2"/>
    </xf>
    <xf numFmtId="3" fontId="6" fillId="2" borderId="1" xfId="0" applyNumberFormat="1" applyFont="1" applyFill="1" applyBorder="1" applyAlignment="1">
      <alignment horizontal="right" vertical="center" indent="1"/>
    </xf>
    <xf numFmtId="4" fontId="6" fillId="2" borderId="1" xfId="0" applyNumberFormat="1" applyFont="1" applyFill="1" applyBorder="1" applyAlignment="1">
      <alignment horizontal="right" vertical="center" indent="1"/>
    </xf>
    <xf numFmtId="9" fontId="6" fillId="2" borderId="1" xfId="1" applyFont="1" applyFill="1" applyBorder="1" applyAlignment="1">
      <alignment horizontal="right" vertical="center" indent="1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 indent="1"/>
    </xf>
    <xf numFmtId="0" fontId="3" fillId="0" borderId="0" xfId="0" applyFont="1"/>
    <xf numFmtId="4" fontId="3" fillId="0" borderId="0" xfId="0" applyNumberFormat="1" applyFont="1" applyAlignment="1">
      <alignment horizontal="center"/>
    </xf>
    <xf numFmtId="0" fontId="9" fillId="0" borderId="0" xfId="0" applyFont="1"/>
    <xf numFmtId="16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left"/>
    </xf>
  </cellXfs>
  <cellStyles count="2">
    <cellStyle name="Normal" xfId="0" builtinId="0"/>
    <cellStyle name="Pourcentage" xfId="1" builtinId="5"/>
  </cellStyles>
  <dxfs count="28">
    <dxf>
      <numFmt numFmtId="3" formatCode="#,##0"/>
    </dxf>
    <dxf>
      <numFmt numFmtId="3" formatCode="#,##0"/>
    </dxf>
    <dxf>
      <alignment horizontal="center"/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numFmt numFmtId="3" formatCode="#,##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laire%20-%20Patrimoin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COHEN SOLAL" refreshedDate="46125.427293865738" createdVersion="8" refreshedVersion="8" minRefreshableVersion="3" recordCount="64" xr:uid="{448CA788-DE16-8E49-846D-14027E0DE448}">
  <cacheSource type="worksheet">
    <worksheetSource ref="A1:G1048576" sheet="CRYPTO" r:id="rId2"/>
  </cacheSource>
  <cacheFields count="10">
    <cacheField name="Date" numFmtId="14">
      <sharedItems containsNonDate="0" containsDate="1" containsString="0" containsBlank="1" minDate="2000-01-01T00:00:00" maxDate="2026-04-13T00:00:00" count="60">
        <d v="2000-01-01T00:00:00"/>
        <d v="2022-04-26T00:00:00"/>
        <d v="2022-05-03T00:00:00"/>
        <d v="2023-04-12T00:00:00"/>
        <d v="2023-04-19T00:00:00"/>
        <d v="2023-04-27T00:00:00"/>
        <d v="2023-05-04T00:00:00"/>
        <d v="2023-05-06T00:00:00"/>
        <d v="2023-05-11T00:00:00"/>
        <d v="2023-05-12T00:00:00"/>
        <d v="2023-05-23T00:00:00"/>
        <d v="2023-05-29T00:00:00"/>
        <d v="2023-06-09T00:00:00"/>
        <d v="2023-06-15T00:00:00"/>
        <d v="2023-06-20T00:00:00"/>
        <d v="2023-07-04T00:00:00"/>
        <d v="2023-09-13T00:00:00"/>
        <d v="2024-02-22T00:00:00"/>
        <d v="2024-03-06T00:00:00"/>
        <d v="2024-03-22T00:00:00"/>
        <d v="2024-04-10T00:00:00"/>
        <d v="2024-04-14T00:00:00"/>
        <d v="2024-05-06T00:00:00"/>
        <d v="2024-05-30T00:00:00"/>
        <d v="2024-06-04T00:00:00"/>
        <d v="2024-06-24T00:00:00"/>
        <d v="2024-07-04T00:00:00"/>
        <d v="2024-12-14T00:00:00"/>
        <d v="2024-12-20T00:00:00"/>
        <d v="2025-02-03T00:00:00"/>
        <d v="2025-02-19T00:00:00"/>
        <d v="2025-02-25T00:00:00"/>
        <d v="2025-02-26T00:00:00"/>
        <d v="2025-02-28T00:00:00"/>
        <d v="2025-03-03T00:00:00"/>
        <d v="2025-03-09T00:00:00"/>
        <d v="2025-03-30T00:00:00"/>
        <d v="2025-05-02T00:00:00"/>
        <d v="2025-05-13T00:00:00"/>
        <d v="2025-06-29T00:00:00"/>
        <d v="2025-08-01T00:00:00"/>
        <d v="2025-08-29T00:00:00"/>
        <d v="2025-10-11T00:00:00"/>
        <d v="2025-10-29T00:00:00"/>
        <d v="2025-11-04T00:00:00"/>
        <d v="2025-11-22T00:00:00"/>
        <d v="2025-11-26T00:00:00"/>
        <d v="2025-12-15T00:00:00"/>
        <d v="2025-12-22T00:00:00"/>
        <d v="2025-12-29T00:00:00"/>
        <d v="2025-12-30T00:00:00"/>
        <d v="2026-01-02T00:00:00"/>
        <d v="2026-01-05T00:00:00"/>
        <d v="2026-04-12T00:00:00"/>
        <m/>
        <d v="2022-01-01T00:00:00" u="1"/>
        <d v="2024-05-31T00:00:00" u="1"/>
        <d v="2024-06-02T00:00:00" u="1"/>
        <d v="2024-06-03T00:00:00" u="1"/>
        <d v="2024-06-06T00:00:00" u="1"/>
      </sharedItems>
      <fieldGroup par="9"/>
    </cacheField>
    <cacheField name="Plateforme" numFmtId="0">
      <sharedItems containsBlank="1"/>
    </cacheField>
    <cacheField name="Devise" numFmtId="0">
      <sharedItems containsBlank="1"/>
    </cacheField>
    <cacheField name="Opération" numFmtId="0">
      <sharedItems containsBlank="1" count="8">
        <s v="VENTE"/>
        <s v="VALO PTF"/>
        <s v="STOCK"/>
        <s v="SOUTIR"/>
        <s v="GAIN"/>
        <s v="ACHAT"/>
        <m/>
        <s v="DEPOT" u="1"/>
      </sharedItems>
    </cacheField>
    <cacheField name="Quantité" numFmtId="0">
      <sharedItems containsString="0" containsBlank="1" containsNumber="1" minValue="4.6000000000000001E-4" maxValue="5375"/>
    </cacheField>
    <cacheField name="Valo en EUR" numFmtId="164">
      <sharedItems containsString="0" containsBlank="1" containsNumber="1" minValue="40" maxValue="4990"/>
    </cacheField>
    <cacheField name="Prix crypto" numFmtId="164">
      <sharedItems containsString="0" containsBlank="1" containsNumber="1" minValue="0.91864406779661012" maxValue="101214.57489878543"/>
    </cacheField>
    <cacheField name="Mois (Date)" numFmtId="0" databaseField="0">
      <fieldGroup base="0">
        <rangePr groupBy="months" startDate="2000-01-01T00:00:00" endDate="2026-04-13T00:00:00"/>
        <groupItems count="14">
          <s v="&lt;01/01/200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3/04/2026"/>
        </groupItems>
      </fieldGroup>
    </cacheField>
    <cacheField name="Trimestres (Date)" numFmtId="0" databaseField="0">
      <fieldGroup base="0">
        <rangePr groupBy="quarters" startDate="2000-01-01T00:00:00" endDate="2026-04-13T00:00:00"/>
        <groupItems count="6">
          <s v="&lt;01/01/2000"/>
          <s v="Trimestre1"/>
          <s v="Trimestre2"/>
          <s v="Trimestre3"/>
          <s v="Trimestre4"/>
          <s v="&gt;13/04/2026"/>
        </groupItems>
      </fieldGroup>
    </cacheField>
    <cacheField name="Années (Date)" numFmtId="0" databaseField="0">
      <fieldGroup base="0">
        <rangePr groupBy="years" startDate="2000-01-01T00:00:00" endDate="2026-04-13T00:00:00"/>
        <groupItems count="29">
          <s v="&lt;01/01/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3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m/>
    <m/>
    <x v="0"/>
    <m/>
    <m/>
    <m/>
  </r>
  <r>
    <x v="0"/>
    <m/>
    <m/>
    <x v="1"/>
    <m/>
    <m/>
    <m/>
  </r>
  <r>
    <x v="0"/>
    <m/>
    <m/>
    <x v="2"/>
    <m/>
    <m/>
    <m/>
  </r>
  <r>
    <x v="0"/>
    <m/>
    <m/>
    <x v="3"/>
    <m/>
    <m/>
    <m/>
  </r>
  <r>
    <x v="0"/>
    <m/>
    <m/>
    <x v="4"/>
    <m/>
    <m/>
    <m/>
  </r>
  <r>
    <x v="1"/>
    <s v="Kraken"/>
    <s v="BTC"/>
    <x v="5"/>
    <n v="1.3325740000000001E-2"/>
    <n v="499.92"/>
    <n v="37515.36500036771"/>
  </r>
  <r>
    <x v="2"/>
    <s v="Kraken"/>
    <s v="BTC"/>
    <x v="5"/>
    <n v="1.3571730000000001E-2"/>
    <n v="493.4"/>
    <n v="36354.982010399552"/>
  </r>
  <r>
    <x v="3"/>
    <s v="Kraken"/>
    <s v="BTC"/>
    <x v="5"/>
    <n v="3.6478089999999998E-2"/>
    <n v="1000"/>
    <n v="27413.716014188245"/>
  </r>
  <r>
    <x v="4"/>
    <s v="Kraken"/>
    <s v="BTC"/>
    <x v="5"/>
    <n v="1.8610000000000002E-2"/>
    <n v="500"/>
    <n v="26867.275658248251"/>
  </r>
  <r>
    <x v="5"/>
    <s v="Kraken"/>
    <s v="BTC"/>
    <x v="5"/>
    <n v="1.873445E-2"/>
    <n v="461.61"/>
    <n v="24639.634470187277"/>
  </r>
  <r>
    <x v="6"/>
    <s v="Kraken"/>
    <s v="BTC"/>
    <x v="5"/>
    <n v="1.147258E-2"/>
    <n v="300"/>
    <n v="26149.305561608635"/>
  </r>
  <r>
    <x v="7"/>
    <s v="Kraken"/>
    <s v="BTC"/>
    <x v="5"/>
    <n v="1.88061E-3"/>
    <n v="50"/>
    <n v="26587.118009581998"/>
  </r>
  <r>
    <x v="8"/>
    <s v="Kraken"/>
    <s v="BTC"/>
    <x v="5"/>
    <n v="1.5933019999999999E-2"/>
    <n v="401.04"/>
    <n v="25170.369459148362"/>
  </r>
  <r>
    <x v="9"/>
    <s v="Kraken"/>
    <s v="BTC"/>
    <x v="5"/>
    <n v="2.4559999999999998E-2"/>
    <n v="604.98"/>
    <n v="24632.736156351795"/>
  </r>
  <r>
    <x v="10"/>
    <s v="Kraken"/>
    <s v="BTC"/>
    <x v="5"/>
    <n v="2.0070000000000001E-2"/>
    <n v="494.37"/>
    <n v="24632.286995515693"/>
  </r>
  <r>
    <x v="11"/>
    <s v="Kraken"/>
    <s v="BTC"/>
    <x v="5"/>
    <n v="7.7299999999999999E-3"/>
    <n v="190.41"/>
    <n v="24632.600258732211"/>
  </r>
  <r>
    <x v="12"/>
    <s v="Kraken"/>
    <s v="BTC"/>
    <x v="5"/>
    <n v="2.184699E-2"/>
    <n v="540"/>
    <n v="24717.363810758368"/>
  </r>
  <r>
    <x v="13"/>
    <s v="Kraken"/>
    <s v="BTC"/>
    <x v="5"/>
    <n v="3.4171399999999998E-2"/>
    <n v="788.19"/>
    <n v="23065.780155334582"/>
  </r>
  <r>
    <x v="14"/>
    <s v="Kraken"/>
    <s v="BTC"/>
    <x v="5"/>
    <n v="3.5785869999999997E-2"/>
    <n v="900"/>
    <n v="25149.591165451617"/>
  </r>
  <r>
    <x v="15"/>
    <s v="Kraken"/>
    <s v="BTC"/>
    <x v="5"/>
    <n v="3.3365159999999998E-2"/>
    <n v="950"/>
    <n v="28472.814157042856"/>
  </r>
  <r>
    <x v="16"/>
    <s v="Kraken"/>
    <s v="BTC"/>
    <x v="5"/>
    <n v="4.0230210000000002E-2"/>
    <n v="1000"/>
    <n v="24856.942084070652"/>
  </r>
  <r>
    <x v="17"/>
    <s v="Kraken"/>
    <s v="BTC"/>
    <x v="5"/>
    <n v="1.0277459999999999E-2"/>
    <n v="487"/>
    <n v="47385.248884451998"/>
  </r>
  <r>
    <x v="18"/>
    <s v="Kraken"/>
    <s v="USDT"/>
    <x v="5"/>
    <n v="1572.5359000000001"/>
    <n v="1458"/>
    <n v="0.92716484246877917"/>
  </r>
  <r>
    <x v="19"/>
    <s v="Kraken"/>
    <s v="AVAX"/>
    <x v="5"/>
    <n v="10.77"/>
    <n v="542"/>
    <n v="50.324976787372336"/>
  </r>
  <r>
    <x v="19"/>
    <s v="Kraken"/>
    <s v="MATIC"/>
    <x v="5"/>
    <n v="590"/>
    <n v="542"/>
    <n v="0.91864406779661012"/>
  </r>
  <r>
    <x v="20"/>
    <s v="Kraken"/>
    <s v="ETH"/>
    <x v="5"/>
    <n v="0.30638960999999998"/>
    <n v="990"/>
    <n v="3231.180065146465"/>
  </r>
  <r>
    <x v="20"/>
    <s v="Kraken"/>
    <s v="USDT"/>
    <x v="5"/>
    <n v="2165"/>
    <n v="2029"/>
    <n v="0.9371824480369515"/>
  </r>
  <r>
    <x v="21"/>
    <s v="Kraken"/>
    <s v="USDT"/>
    <x v="5"/>
    <n v="2091"/>
    <n v="2000"/>
    <n v="0.95648015303682443"/>
  </r>
  <r>
    <x v="22"/>
    <s v="Kraken"/>
    <s v="USDT"/>
    <x v="5"/>
    <n v="5375"/>
    <n v="4990"/>
    <n v="0.92837209302325585"/>
  </r>
  <r>
    <x v="23"/>
    <s v="Kraken"/>
    <s v="BTC"/>
    <x v="5"/>
    <n v="1.5938520000000001E-2"/>
    <n v="990"/>
    <n v="62113.671783829363"/>
  </r>
  <r>
    <x v="24"/>
    <s v="Kraken"/>
    <s v="BTC"/>
    <x v="5"/>
    <n v="1.5543369999999999E-2"/>
    <n v="994"/>
    <n v="63950.095764303369"/>
  </r>
  <r>
    <x v="24"/>
    <s v="Kraken"/>
    <s v="BTC"/>
    <x v="5"/>
    <n v="0.14403999000000001"/>
    <n v="501"/>
    <n v="3478.2007413357915"/>
  </r>
  <r>
    <x v="25"/>
    <s v="Kraken"/>
    <s v="BTC"/>
    <x v="5"/>
    <n v="2.2048539999999998E-2"/>
    <n v="1250"/>
    <n v="56693.096232222182"/>
  </r>
  <r>
    <x v="25"/>
    <s v="Kraken"/>
    <s v="PAXGOLD"/>
    <x v="5"/>
    <n v="1.2676691200000001"/>
    <n v="2745"/>
    <n v="2165.3915494920311"/>
  </r>
  <r>
    <x v="26"/>
    <s v="Kraken"/>
    <s v="BTC"/>
    <x v="5"/>
    <n v="3.3347229999999999E-2"/>
    <n v="1800"/>
    <n v="53977.496781591755"/>
  </r>
  <r>
    <x v="27"/>
    <s v="Kraken"/>
    <s v="ETH"/>
    <x v="5"/>
    <n v="0.27111000000000002"/>
    <n v="1000"/>
    <n v="3688.5397071299471"/>
  </r>
  <r>
    <x v="28"/>
    <s v="Kraken"/>
    <s v="LINK"/>
    <x v="5"/>
    <n v="71.040000000000006"/>
    <n v="1500"/>
    <n v="21.114864864864863"/>
  </r>
  <r>
    <x v="28"/>
    <s v="Deblock"/>
    <s v="SOL"/>
    <x v="5"/>
    <n v="2.74"/>
    <n v="500"/>
    <n v="182.48175182481751"/>
  </r>
  <r>
    <x v="29"/>
    <s v="Deblock"/>
    <s v="ETH"/>
    <x v="5"/>
    <n v="0.99399999999999999"/>
    <n v="2500"/>
    <n v="2515.0905432595573"/>
  </r>
  <r>
    <x v="30"/>
    <s v="Deblock"/>
    <s v="BTC"/>
    <x v="5"/>
    <n v="5.4299999999999999E-3"/>
    <n v="500"/>
    <n v="92081.031307550642"/>
  </r>
  <r>
    <x v="31"/>
    <s v="Deblock"/>
    <s v="BTC"/>
    <x v="5"/>
    <n v="1.14E-2"/>
    <n v="1000"/>
    <n v="87719.298245614031"/>
  </r>
  <r>
    <x v="32"/>
    <s v="Deblock"/>
    <s v="BTC"/>
    <x v="5"/>
    <n v="5.8700000000000002E-3"/>
    <n v="500"/>
    <n v="85178.875638841564"/>
  </r>
  <r>
    <x v="33"/>
    <s v="Deblock"/>
    <s v="BTC"/>
    <x v="5"/>
    <n v="6.4799999999999996E-3"/>
    <n v="500"/>
    <n v="77160.493827160491"/>
  </r>
  <r>
    <x v="34"/>
    <s v="Deblock"/>
    <s v="BTC"/>
    <x v="5"/>
    <n v="6.1000000000000004E-3"/>
    <n v="500"/>
    <n v="81967.213114754093"/>
  </r>
  <r>
    <x v="35"/>
    <s v="Deblock"/>
    <s v="BTC"/>
    <x v="5"/>
    <n v="6.4599999999999996E-3"/>
    <n v="500"/>
    <n v="77399.380804953558"/>
  </r>
  <r>
    <x v="36"/>
    <s v="Deblock"/>
    <s v="BTC"/>
    <x v="5"/>
    <n v="4.512E-2"/>
    <n v="3450"/>
    <n v="76462.765957446813"/>
  </r>
  <r>
    <x v="37"/>
    <s v="Deblock"/>
    <s v="BTC"/>
    <x v="5"/>
    <n v="4.6000000000000001E-4"/>
    <n v="40"/>
    <n v="86956.521739130432"/>
  </r>
  <r>
    <x v="38"/>
    <s v="Deblock"/>
    <s v="BTC"/>
    <x v="5"/>
    <n v="1.0499999999999999E-3"/>
    <n v="100"/>
    <n v="95238.095238095237"/>
  </r>
  <r>
    <x v="39"/>
    <s v="Deblock"/>
    <s v="BTC"/>
    <x v="5"/>
    <n v="5.4000000000000003E-3"/>
    <n v="500"/>
    <n v="92592.592592592584"/>
  </r>
  <r>
    <x v="40"/>
    <s v="Deblock"/>
    <s v="BTC"/>
    <x v="5"/>
    <n v="3.9899999999999996E-3"/>
    <n v="400"/>
    <n v="100250.62656641605"/>
  </r>
  <r>
    <x v="41"/>
    <s v="Deblock"/>
    <s v="BTC"/>
    <x v="5"/>
    <n v="2.1099999999999999E-3"/>
    <n v="200"/>
    <n v="94786.729857819912"/>
  </r>
  <r>
    <x v="42"/>
    <s v="Deblock"/>
    <s v="BTC"/>
    <x v="5"/>
    <n v="4.9399999999999999E-3"/>
    <n v="500"/>
    <n v="101214.57489878543"/>
  </r>
  <r>
    <x v="43"/>
    <s v="Deblock"/>
    <s v="BTC"/>
    <x v="5"/>
    <n v="4.1599999999999996E-3"/>
    <n v="400"/>
    <n v="96153.846153846156"/>
  </r>
  <r>
    <x v="44"/>
    <s v="Deblock"/>
    <s v="BTC"/>
    <x v="5"/>
    <n v="5.4400000000000004E-3"/>
    <n v="480"/>
    <n v="88235.294117647049"/>
  </r>
  <r>
    <x v="45"/>
    <s v="Deblock"/>
    <s v="BTC"/>
    <x v="5"/>
    <n v="6.7799999999999996E-3"/>
    <n v="500"/>
    <n v="73746.312684365781"/>
  </r>
  <r>
    <x v="46"/>
    <s v="Deblock"/>
    <s v="BTC"/>
    <x v="5"/>
    <n v="6.5300000000000002E-3"/>
    <n v="510"/>
    <n v="78101.071975497704"/>
  </r>
  <r>
    <x v="47"/>
    <s v="Deblock"/>
    <s v="BTC"/>
    <x v="5"/>
    <n v="3.3800000000000002E-3"/>
    <n v="250"/>
    <n v="73964.497041420109"/>
  </r>
  <r>
    <x v="48"/>
    <s v="Deblock"/>
    <s v="BTC"/>
    <x v="5"/>
    <n v="1.3050000000000001E-2"/>
    <n v="1000"/>
    <n v="76628.352490421457"/>
  </r>
  <r>
    <x v="49"/>
    <s v="Deblock"/>
    <s v="BTC"/>
    <x v="5"/>
    <n v="7.0699999999999999E-3"/>
    <n v="530"/>
    <n v="74964.639321074967"/>
  </r>
  <r>
    <x v="50"/>
    <s v="Deblock"/>
    <s v="BTC"/>
    <x v="5"/>
    <n v="7.9900000000000006E-3"/>
    <n v="600"/>
    <n v="75093.867334167706"/>
  </r>
  <r>
    <x v="51"/>
    <s v="Deblock"/>
    <s v="BTC"/>
    <x v="5"/>
    <n v="2.2120000000000001E-2"/>
    <n v="1700"/>
    <n v="76853.526220614833"/>
  </r>
  <r>
    <x v="52"/>
    <s v="Deblock"/>
    <s v="BTC"/>
    <x v="5"/>
    <n v="1.482E-2"/>
    <n v="1200"/>
    <n v="80971.659919028345"/>
  </r>
  <r>
    <x v="53"/>
    <s v="Deblock"/>
    <s v="BTC"/>
    <x v="5"/>
    <n v="4.7129999999999998E-2"/>
    <n v="2900"/>
    <n v="61531.932951410992"/>
  </r>
  <r>
    <x v="54"/>
    <m/>
    <m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D391D-8AE0-0447-8292-717151AD3D8F}" name="Tableau croisé dynamique1" cacheId="0" applyNumberFormats="0" applyBorderFormats="0" applyFontFormats="0" applyPatternFormats="0" applyAlignmentFormats="0" applyWidthHeightFormats="1" dataCaption="Valeurs" grandTotalCaption="TOTAL" updatedVersion="8" minRefreshableVersion="3" colGrandTotals="0" itemPrintTitles="1" createdVersion="8" indent="0" outline="1" outlineData="1" multipleFieldFilters="0" rowHeaderCaption="" colHeaderCaption="">
  <location ref="I4:O60" firstHeaderRow="1" firstDataRow="2" firstDataCol="1"/>
  <pivotFields count="10">
    <pivotField axis="axisRow" showAll="0" sortType="ascending">
      <items count="61">
        <item x="0"/>
        <item m="1" x="5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56"/>
        <item m="1" x="57"/>
        <item m="1" x="58"/>
        <item x="24"/>
        <item m="1" x="59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axis="axisCol" showAll="0">
      <items count="9">
        <item n="€ injecté" x="5"/>
        <item h="1" m="1" x="7"/>
        <item h="1" x="6"/>
        <item n="Montant vente" x="0"/>
        <item n="Valo Crypto" x="1"/>
        <item n="€ en stock" x="2"/>
        <item n="€ soutiré" x="3"/>
        <item n="+/- value" x="4"/>
        <item t="default"/>
      </items>
    </pivotField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30">
        <item sd="0" x="23"/>
        <item sd="0" x="24"/>
        <item sd="0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6"/>
        <item x="27"/>
        <item x="28"/>
        <item t="default"/>
      </items>
    </pivotField>
  </pivotFields>
  <rowFields count="1">
    <field x="0"/>
  </rowFields>
  <rowItems count="5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3"/>
  </colFields>
  <colItems count="6">
    <i>
      <x/>
    </i>
    <i>
      <x v="3"/>
    </i>
    <i>
      <x v="4"/>
    </i>
    <i>
      <x v="5"/>
    </i>
    <i>
      <x v="6"/>
    </i>
    <i>
      <x v="7"/>
    </i>
  </colItems>
  <dataFields count="1">
    <dataField name="Opérations" fld="5" baseField="0" baseItem="0" numFmtId="3"/>
  </dataFields>
  <formats count="28">
    <format dxfId="0">
      <pivotArea collapsedLevelsAreSubtotals="1" fieldPosition="0">
        <references count="1">
          <reference field="0" count="2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">
      <pivotArea grandRow="1" outline="0" collapsedLevelsAreSubtotals="1" fieldPosition="0"/>
    </format>
    <format dxfId="2">
      <pivotArea dataOnly="0" labelOnly="1" fieldPosition="0">
        <references count="1">
          <reference field="3" count="0"/>
        </references>
      </pivotArea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type="origin" dataOnly="0" labelOnly="1" outline="0" fieldPosition="0"/>
    </format>
    <format dxfId="6">
      <pivotArea field="3" type="button" dataOnly="0" labelOnly="1" outline="0" axis="axisCol" fieldPosition="0"/>
    </format>
    <format dxfId="7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2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1">
          <reference field="3" count="0"/>
        </references>
      </pivotArea>
    </format>
    <format dxfId="11">
      <pivotArea type="all" dataOnly="0" outline="0" fieldPosition="0"/>
    </format>
    <format dxfId="12">
      <pivotArea dataOnly="0" labelOnly="1" fieldPosition="0">
        <references count="1">
          <reference field="0" count="24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13">
      <pivotArea dataOnly="0" labelOnly="1" fieldPosition="0">
        <references count="1">
          <reference field="0" count="1">
            <x v="1"/>
          </reference>
        </references>
      </pivotArea>
    </format>
    <format dxfId="14">
      <pivotArea dataOnly="0" labelOnly="1" fieldPosition="0">
        <references count="1">
          <reference field="0" count="1">
            <x v="26"/>
          </reference>
        </references>
      </pivotArea>
    </format>
    <format dxfId="15">
      <pivotArea dataOnly="0" labelOnly="1" fieldPosition="0">
        <references count="1">
          <reference field="0" count="1">
            <x v="27"/>
          </reference>
        </references>
      </pivotArea>
    </format>
    <format dxfId="16">
      <pivotArea dataOnly="0" labelOnly="1" fieldPosition="0">
        <references count="1">
          <reference field="0" count="1">
            <x v="0"/>
          </reference>
        </references>
      </pivotArea>
    </format>
    <format dxfId="17">
      <pivotArea dataOnly="0" labelOnly="1" fieldPosition="0">
        <references count="1">
          <reference field="0" count="1">
            <x v="28"/>
          </reference>
        </references>
      </pivotArea>
    </format>
    <format dxfId="18">
      <pivotArea dataOnly="0" labelOnly="1" fieldPosition="0">
        <references count="1">
          <reference field="0" count="1">
            <x v="30"/>
          </reference>
        </references>
      </pivotArea>
    </format>
    <format dxfId="19">
      <pivotArea dataOnly="0" labelOnly="1" fieldPosition="0">
        <references count="1">
          <reference field="0" count="1">
            <x v="31"/>
          </reference>
        </references>
      </pivotArea>
    </format>
    <format dxfId="20">
      <pivotArea dataOnly="0" labelOnly="1" fieldPosition="0">
        <references count="1">
          <reference field="0" count="1">
            <x v="32"/>
          </reference>
        </references>
      </pivotArea>
    </format>
    <format dxfId="21">
      <pivotArea dataOnly="0" labelOnly="1" fieldPosition="0">
        <references count="1">
          <reference field="0" count="1">
            <x v="33"/>
          </reference>
        </references>
      </pivotArea>
    </format>
    <format dxfId="22">
      <pivotArea dataOnly="0" labelOnly="1" fieldPosition="0">
        <references count="1">
          <reference field="0" count="1">
            <x v="34"/>
          </reference>
        </references>
      </pivotArea>
    </format>
    <format dxfId="23">
      <pivotArea dataOnly="0" labelOnly="1" fieldPosition="0">
        <references count="1">
          <reference field="0" count="1">
            <x v="35"/>
          </reference>
        </references>
      </pivotArea>
    </format>
    <format dxfId="24">
      <pivotArea dataOnly="0" labelOnly="1" fieldPosition="0">
        <references count="1">
          <reference field="0" count="6">
            <x v="36"/>
            <x v="37"/>
            <x v="38"/>
            <x v="39"/>
            <x v="40"/>
            <x v="41"/>
          </reference>
        </references>
      </pivotArea>
    </format>
    <format dxfId="25">
      <pivotArea dataOnly="0" labelOnly="1" fieldPosition="0">
        <references count="1">
          <reference field="0" count="5">
            <x v="42"/>
            <x v="43"/>
            <x v="44"/>
            <x v="45"/>
            <x v="46"/>
          </reference>
        </references>
      </pivotArea>
    </format>
    <format dxfId="26">
      <pivotArea dataOnly="0" labelOnly="1" fieldPosition="0">
        <references count="1">
          <reference field="0" count="1">
            <x v="47"/>
          </reference>
        </references>
      </pivotArea>
    </format>
    <format dxfId="27">
      <pivotArea dataOnly="0" labelOnly="1" fieldPosition="0">
        <references count="1">
          <reference field="0" count="11"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0C2F-0808-664A-891F-FE6B6F5D3352}">
  <sheetPr>
    <tabColor rgb="FF00B0F0"/>
  </sheetPr>
  <dimension ref="A1:AF64"/>
  <sheetViews>
    <sheetView showGridLines="0" tabSelected="1" workbookViewId="0">
      <selection activeCell="L40" sqref="L40"/>
    </sheetView>
  </sheetViews>
  <sheetFormatPr baseColWidth="10" defaultRowHeight="15" x14ac:dyDescent="0.2"/>
  <cols>
    <col min="1" max="1" width="13.1640625" style="11" bestFit="1" customWidth="1"/>
    <col min="2" max="4" width="10.83203125" style="12"/>
    <col min="5" max="5" width="11.83203125" style="13" customWidth="1"/>
    <col min="6" max="7" width="10.83203125" style="13"/>
    <col min="9" max="16" width="14.6640625" customWidth="1"/>
    <col min="17" max="17" width="13.83203125" style="15" bestFit="1" customWidth="1"/>
    <col min="18" max="19" width="10.83203125" style="15"/>
    <col min="20" max="20" width="11.83203125" style="26" customWidth="1"/>
    <col min="21" max="23" width="10.83203125" style="26"/>
    <col min="26" max="26" width="13.1640625" bestFit="1" customWidth="1"/>
    <col min="29" max="29" width="12.1640625" customWidth="1"/>
  </cols>
  <sheetData>
    <row r="1" spans="1:32" s="3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4"/>
      <c r="J1" s="2" t="s">
        <v>7</v>
      </c>
      <c r="K1" s="2" t="s">
        <v>8</v>
      </c>
      <c r="L1" s="2" t="s">
        <v>9</v>
      </c>
      <c r="M1" s="5"/>
      <c r="N1" s="5"/>
      <c r="O1" s="5"/>
      <c r="P1" s="5"/>
      <c r="R1" s="2"/>
      <c r="S1" s="2"/>
      <c r="T1" s="2"/>
      <c r="U1" s="6"/>
      <c r="V1" s="6"/>
      <c r="W1" s="6"/>
      <c r="Y1" s="7" t="s">
        <v>10</v>
      </c>
      <c r="Z1" s="8">
        <v>45443</v>
      </c>
      <c r="AA1" s="9" t="s">
        <v>11</v>
      </c>
      <c r="AB1" s="9" t="s">
        <v>12</v>
      </c>
      <c r="AC1" s="9" t="s">
        <v>13</v>
      </c>
      <c r="AD1" s="10"/>
      <c r="AE1" s="10">
        <v>10000</v>
      </c>
      <c r="AF1" s="10"/>
    </row>
    <row r="2" spans="1:32" x14ac:dyDescent="0.2">
      <c r="A2" s="11">
        <v>36526</v>
      </c>
      <c r="D2" s="12" t="s">
        <v>13</v>
      </c>
      <c r="J2" s="14">
        <f>K2-L2</f>
        <v>54751.92</v>
      </c>
      <c r="K2" s="14">
        <f>GETPIVOTDATA("Valo en EUR",$I$4,"Opération","€ injecté")</f>
        <v>54751.92</v>
      </c>
      <c r="L2" s="14">
        <f>GETPIVOTDATA("Valo en EUR",$I$4,"Opération","€ soutiré")</f>
        <v>0</v>
      </c>
      <c r="P2" s="15"/>
      <c r="Q2" s="16">
        <v>46124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Z2" s="8">
        <v>45443</v>
      </c>
      <c r="AA2" s="9"/>
      <c r="AB2" s="9"/>
      <c r="AC2" s="9" t="s">
        <v>21</v>
      </c>
      <c r="AD2" s="10"/>
      <c r="AE2" s="10">
        <v>79182</v>
      </c>
      <c r="AF2" s="10"/>
    </row>
    <row r="3" spans="1:32" x14ac:dyDescent="0.2">
      <c r="A3" s="11">
        <v>36526</v>
      </c>
      <c r="D3" s="12" t="s">
        <v>21</v>
      </c>
      <c r="Q3" s="12" t="s">
        <v>12</v>
      </c>
      <c r="R3" s="17">
        <v>1.0031600000000001</v>
      </c>
      <c r="S3" s="18">
        <v>61000</v>
      </c>
      <c r="T3" s="19">
        <f t="shared" ref="T3" si="0">S3/R3</f>
        <v>60807.847202839024</v>
      </c>
      <c r="U3" s="20"/>
      <c r="V3" s="20"/>
      <c r="W3" s="20"/>
      <c r="X3" s="20"/>
      <c r="Z3" s="8">
        <v>45443</v>
      </c>
      <c r="AA3" s="9"/>
      <c r="AB3" s="9"/>
      <c r="AC3" s="9" t="s">
        <v>22</v>
      </c>
      <c r="AD3" s="10"/>
      <c r="AE3" s="10">
        <v>31488</v>
      </c>
      <c r="AF3" s="10"/>
    </row>
    <row r="4" spans="1:32" x14ac:dyDescent="0.2">
      <c r="A4" s="11">
        <v>36526</v>
      </c>
      <c r="D4" s="12" t="s">
        <v>22</v>
      </c>
      <c r="I4" s="21" t="s">
        <v>23</v>
      </c>
      <c r="J4" s="21" t="s">
        <v>24</v>
      </c>
      <c r="K4" s="21"/>
      <c r="L4" s="21"/>
      <c r="M4" s="21"/>
      <c r="N4" s="21"/>
      <c r="O4" s="21"/>
      <c r="Q4" s="12" t="s">
        <v>25</v>
      </c>
      <c r="R4" s="22"/>
      <c r="S4" s="18"/>
      <c r="T4" s="19"/>
      <c r="U4" s="20"/>
      <c r="V4" s="20"/>
      <c r="W4" s="20"/>
      <c r="X4" s="20"/>
      <c r="Z4" s="8">
        <v>45443</v>
      </c>
      <c r="AA4" s="9"/>
      <c r="AB4" s="9"/>
      <c r="AC4" s="9" t="s">
        <v>26</v>
      </c>
      <c r="AD4" s="10"/>
      <c r="AE4" s="10">
        <f>AE1*AE3/AE2</f>
        <v>3976.6613624308557</v>
      </c>
      <c r="AF4" s="10"/>
    </row>
    <row r="5" spans="1:32" x14ac:dyDescent="0.2">
      <c r="A5" s="11">
        <v>36526</v>
      </c>
      <c r="D5" s="12" t="s">
        <v>26</v>
      </c>
      <c r="I5" s="21" t="s">
        <v>24</v>
      </c>
      <c r="J5" s="23" t="s">
        <v>8</v>
      </c>
      <c r="K5" s="23" t="s">
        <v>27</v>
      </c>
      <c r="L5" s="23" t="s">
        <v>28</v>
      </c>
      <c r="M5" s="23" t="s">
        <v>7</v>
      </c>
      <c r="N5" s="23" t="s">
        <v>9</v>
      </c>
      <c r="O5" s="23" t="s">
        <v>29</v>
      </c>
      <c r="Q5" s="12" t="s">
        <v>30</v>
      </c>
      <c r="R5" s="22"/>
      <c r="S5" s="18"/>
      <c r="T5" s="19"/>
      <c r="U5" s="20"/>
      <c r="V5" s="20"/>
      <c r="W5" s="20"/>
      <c r="X5" s="20"/>
      <c r="Z5" s="8">
        <v>45443</v>
      </c>
      <c r="AA5" s="9"/>
      <c r="AB5" s="9"/>
      <c r="AC5" s="9" t="s">
        <v>31</v>
      </c>
      <c r="AD5" s="10"/>
      <c r="AE5" s="10">
        <f>AE1-AE4</f>
        <v>6023.3386375691443</v>
      </c>
      <c r="AF5" s="10"/>
    </row>
    <row r="6" spans="1:32" x14ac:dyDescent="0.2">
      <c r="A6" s="11">
        <v>36526</v>
      </c>
      <c r="D6" s="12" t="s">
        <v>31</v>
      </c>
      <c r="I6" s="24">
        <v>36526</v>
      </c>
      <c r="J6" s="21"/>
      <c r="K6" s="21"/>
      <c r="L6" s="21"/>
      <c r="M6" s="21"/>
      <c r="N6" s="21"/>
      <c r="O6" s="21"/>
      <c r="Q6" s="12"/>
      <c r="R6" s="18"/>
      <c r="S6" s="18"/>
      <c r="T6" s="19"/>
      <c r="U6" s="20"/>
      <c r="V6" s="20"/>
      <c r="W6" s="20"/>
      <c r="X6" s="20"/>
      <c r="AA6" s="25"/>
      <c r="AB6" s="26"/>
      <c r="AC6" s="26"/>
    </row>
    <row r="7" spans="1:32" x14ac:dyDescent="0.2">
      <c r="A7" s="11">
        <v>44677</v>
      </c>
      <c r="B7" s="12" t="s">
        <v>11</v>
      </c>
      <c r="C7" s="12" t="s">
        <v>12</v>
      </c>
      <c r="D7" s="12" t="s">
        <v>32</v>
      </c>
      <c r="E7" s="13">
        <v>1.3325740000000001E-2</v>
      </c>
      <c r="F7" s="13">
        <v>499.92</v>
      </c>
      <c r="G7" s="13">
        <f t="shared" ref="G7:G64" si="1">F7/E7</f>
        <v>37515.36500036771</v>
      </c>
      <c r="I7" s="24">
        <v>44677</v>
      </c>
      <c r="J7" s="21">
        <v>499.92</v>
      </c>
      <c r="K7" s="21"/>
      <c r="L7" s="21"/>
      <c r="M7" s="21"/>
      <c r="N7" s="21"/>
      <c r="O7" s="21"/>
      <c r="Q7" s="12"/>
      <c r="R7" s="18"/>
      <c r="S7" s="18"/>
      <c r="T7" s="19"/>
      <c r="U7" s="20"/>
      <c r="V7" s="20"/>
      <c r="W7" s="20"/>
      <c r="X7" s="20"/>
      <c r="AA7" s="26"/>
      <c r="AB7" s="26"/>
      <c r="AC7" s="26"/>
    </row>
    <row r="8" spans="1:32" x14ac:dyDescent="0.2">
      <c r="A8" s="11">
        <v>44684</v>
      </c>
      <c r="B8" s="12" t="s">
        <v>11</v>
      </c>
      <c r="C8" s="12" t="s">
        <v>12</v>
      </c>
      <c r="D8" s="12" t="s">
        <v>32</v>
      </c>
      <c r="E8" s="13">
        <v>1.3571730000000001E-2</v>
      </c>
      <c r="F8" s="13">
        <v>493.4</v>
      </c>
      <c r="G8" s="13">
        <f t="shared" si="1"/>
        <v>36354.982010399552</v>
      </c>
      <c r="I8" s="24">
        <v>44684</v>
      </c>
      <c r="J8" s="21">
        <v>493.4</v>
      </c>
      <c r="K8" s="21"/>
      <c r="L8" s="21"/>
      <c r="M8" s="21"/>
      <c r="N8" s="21"/>
      <c r="O8" s="21"/>
      <c r="Q8" s="12"/>
      <c r="R8" s="18"/>
      <c r="S8" s="18"/>
      <c r="T8" s="19"/>
      <c r="U8" s="20"/>
      <c r="V8" s="20"/>
      <c r="W8" s="20"/>
      <c r="X8" s="20"/>
      <c r="AA8" s="26"/>
      <c r="AB8" s="26"/>
      <c r="AC8" s="26"/>
    </row>
    <row r="9" spans="1:32" x14ac:dyDescent="0.2">
      <c r="A9" s="11">
        <v>45028</v>
      </c>
      <c r="B9" s="12" t="s">
        <v>11</v>
      </c>
      <c r="C9" s="12" t="s">
        <v>12</v>
      </c>
      <c r="D9" s="12" t="s">
        <v>32</v>
      </c>
      <c r="E9" s="13">
        <v>3.6478089999999998E-2</v>
      </c>
      <c r="F9" s="13">
        <v>1000</v>
      </c>
      <c r="G9" s="13">
        <f t="shared" si="1"/>
        <v>27413.716014188245</v>
      </c>
      <c r="I9" s="24">
        <v>45028</v>
      </c>
      <c r="J9" s="21">
        <v>1000</v>
      </c>
      <c r="K9" s="21"/>
      <c r="L9" s="21"/>
      <c r="M9" s="21"/>
      <c r="N9" s="21"/>
      <c r="O9" s="21"/>
      <c r="Q9" s="27"/>
      <c r="R9" s="28"/>
      <c r="S9" s="18"/>
      <c r="T9" s="19"/>
      <c r="U9" s="20"/>
      <c r="V9" s="20"/>
      <c r="W9" s="20"/>
      <c r="X9" s="20"/>
      <c r="AA9" s="26"/>
      <c r="AB9" s="26"/>
      <c r="AC9" s="26"/>
    </row>
    <row r="10" spans="1:32" x14ac:dyDescent="0.2">
      <c r="A10" s="11">
        <v>45035</v>
      </c>
      <c r="B10" s="12" t="s">
        <v>11</v>
      </c>
      <c r="C10" s="12" t="s">
        <v>12</v>
      </c>
      <c r="D10" s="12" t="s">
        <v>32</v>
      </c>
      <c r="E10" s="13">
        <v>1.8610000000000002E-2</v>
      </c>
      <c r="F10" s="13">
        <v>500</v>
      </c>
      <c r="G10" s="13">
        <f t="shared" si="1"/>
        <v>26867.275658248251</v>
      </c>
      <c r="I10" s="24">
        <v>45035</v>
      </c>
      <c r="J10" s="21">
        <v>500</v>
      </c>
      <c r="K10" s="21"/>
      <c r="L10" s="21"/>
      <c r="M10" s="21"/>
      <c r="N10" s="21"/>
      <c r="O10" s="21"/>
      <c r="Q10" s="27"/>
      <c r="R10" s="18"/>
      <c r="S10" s="18"/>
      <c r="T10" s="19"/>
      <c r="U10" s="20"/>
      <c r="V10" s="20"/>
      <c r="W10" s="20"/>
      <c r="X10" s="20"/>
      <c r="AA10" s="26"/>
      <c r="AB10" s="26"/>
      <c r="AC10" s="26"/>
    </row>
    <row r="11" spans="1:32" x14ac:dyDescent="0.2">
      <c r="A11" s="11">
        <v>45043</v>
      </c>
      <c r="B11" s="12" t="s">
        <v>11</v>
      </c>
      <c r="C11" s="12" t="s">
        <v>12</v>
      </c>
      <c r="D11" s="12" t="s">
        <v>32</v>
      </c>
      <c r="E11" s="13">
        <f>0.00936206+0.00937239</f>
        <v>1.873445E-2</v>
      </c>
      <c r="F11" s="13">
        <v>461.61</v>
      </c>
      <c r="G11" s="13">
        <f t="shared" si="1"/>
        <v>24639.634470187277</v>
      </c>
      <c r="I11" s="24">
        <v>45043</v>
      </c>
      <c r="J11" s="21">
        <v>461.61</v>
      </c>
      <c r="K11" s="21"/>
      <c r="L11" s="21"/>
      <c r="M11" s="21"/>
      <c r="N11" s="21"/>
      <c r="O11" s="21"/>
      <c r="Q11" s="27"/>
      <c r="R11" s="22"/>
      <c r="S11" s="18"/>
      <c r="T11" s="19"/>
      <c r="U11" s="20"/>
      <c r="V11" s="20"/>
      <c r="W11" s="20"/>
      <c r="X11" s="20"/>
      <c r="AA11" s="26"/>
      <c r="AB11" s="26"/>
      <c r="AC11" s="26"/>
    </row>
    <row r="12" spans="1:32" x14ac:dyDescent="0.2">
      <c r="A12" s="11">
        <v>45050</v>
      </c>
      <c r="B12" s="12" t="s">
        <v>11</v>
      </c>
      <c r="C12" s="12" t="s">
        <v>12</v>
      </c>
      <c r="D12" s="12" t="s">
        <v>32</v>
      </c>
      <c r="E12" s="13">
        <f>0.01147258</f>
        <v>1.147258E-2</v>
      </c>
      <c r="F12" s="13">
        <v>300</v>
      </c>
      <c r="G12" s="13">
        <f t="shared" si="1"/>
        <v>26149.305561608635</v>
      </c>
      <c r="I12" s="24">
        <v>45050</v>
      </c>
      <c r="J12" s="21">
        <v>300</v>
      </c>
      <c r="K12" s="21"/>
      <c r="L12" s="21"/>
      <c r="M12" s="21"/>
      <c r="N12" s="21"/>
      <c r="O12" s="21"/>
      <c r="Q12" s="29" t="s">
        <v>33</v>
      </c>
      <c r="R12" s="28"/>
      <c r="S12" s="30">
        <f>SUM(S3:S11)</f>
        <v>61000</v>
      </c>
      <c r="T12" s="19"/>
      <c r="U12" s="30">
        <f>J2</f>
        <v>54751.92</v>
      </c>
      <c r="V12" s="30">
        <f>S12-U12</f>
        <v>6248.0800000000017</v>
      </c>
      <c r="W12" s="31">
        <f>S12/U12</f>
        <v>1.1141161807658984</v>
      </c>
      <c r="X12" s="32">
        <f>S12/U12-1</f>
        <v>0.11411618076589836</v>
      </c>
      <c r="AA12" s="26"/>
      <c r="AB12" s="26"/>
      <c r="AC12" s="26"/>
    </row>
    <row r="13" spans="1:32" x14ac:dyDescent="0.2">
      <c r="A13" s="11">
        <v>45052</v>
      </c>
      <c r="B13" s="12" t="s">
        <v>11</v>
      </c>
      <c r="C13" s="12" t="s">
        <v>12</v>
      </c>
      <c r="D13" s="12" t="s">
        <v>32</v>
      </c>
      <c r="E13" s="13">
        <f>0.00188061</f>
        <v>1.88061E-3</v>
      </c>
      <c r="F13" s="13">
        <v>50</v>
      </c>
      <c r="G13" s="13">
        <f t="shared" si="1"/>
        <v>26587.118009581998</v>
      </c>
      <c r="I13" s="24">
        <v>45052</v>
      </c>
      <c r="J13" s="21">
        <v>50</v>
      </c>
      <c r="K13" s="21"/>
      <c r="L13" s="21"/>
      <c r="M13" s="21"/>
      <c r="N13" s="21"/>
      <c r="O13" s="21"/>
      <c r="U13" s="33" t="s">
        <v>34</v>
      </c>
      <c r="V13" s="34">
        <f>-V12*0.3</f>
        <v>-1874.4240000000004</v>
      </c>
      <c r="AA13" s="26"/>
      <c r="AB13" s="26"/>
      <c r="AC13" s="26"/>
    </row>
    <row r="14" spans="1:32" x14ac:dyDescent="0.2">
      <c r="A14" s="11">
        <v>45057</v>
      </c>
      <c r="B14" s="12" t="s">
        <v>11</v>
      </c>
      <c r="C14" s="12" t="s">
        <v>12</v>
      </c>
      <c r="D14" s="12" t="s">
        <v>32</v>
      </c>
      <c r="E14" s="13">
        <f>0.01593302</f>
        <v>1.5933019999999999E-2</v>
      </c>
      <c r="F14" s="13">
        <v>401.04</v>
      </c>
      <c r="G14" s="13">
        <f t="shared" si="1"/>
        <v>25170.369459148362</v>
      </c>
      <c r="I14" s="24">
        <v>45057</v>
      </c>
      <c r="J14" s="21">
        <v>401.04</v>
      </c>
      <c r="K14" s="21"/>
      <c r="L14" s="21"/>
      <c r="M14" s="21"/>
      <c r="N14" s="21"/>
      <c r="O14" s="21"/>
      <c r="Z14" s="35"/>
      <c r="AA14" s="36"/>
      <c r="AB14" s="36"/>
      <c r="AC14" s="36"/>
    </row>
    <row r="15" spans="1:32" x14ac:dyDescent="0.2">
      <c r="A15" s="11">
        <v>45058</v>
      </c>
      <c r="B15" s="12" t="s">
        <v>11</v>
      </c>
      <c r="C15" s="12" t="s">
        <v>12</v>
      </c>
      <c r="D15" s="12" t="s">
        <v>32</v>
      </c>
      <c r="E15" s="13">
        <f>0.02456</f>
        <v>2.4559999999999998E-2</v>
      </c>
      <c r="F15" s="13">
        <v>604.98</v>
      </c>
      <c r="G15" s="13">
        <f t="shared" si="1"/>
        <v>24632.736156351795</v>
      </c>
      <c r="I15" s="24">
        <v>45058</v>
      </c>
      <c r="J15" s="21">
        <v>604.98</v>
      </c>
      <c r="K15" s="21"/>
      <c r="L15" s="21"/>
      <c r="M15" s="21"/>
      <c r="N15" s="21"/>
      <c r="O15" s="21"/>
      <c r="Z15" s="35"/>
      <c r="AB15" s="36"/>
    </row>
    <row r="16" spans="1:32" ht="16" x14ac:dyDescent="0.2">
      <c r="A16" s="11">
        <v>45069</v>
      </c>
      <c r="B16" s="12" t="s">
        <v>11</v>
      </c>
      <c r="C16" s="12" t="s">
        <v>12</v>
      </c>
      <c r="D16" s="12" t="s">
        <v>32</v>
      </c>
      <c r="E16" s="13">
        <f>0.02007</f>
        <v>2.0070000000000001E-2</v>
      </c>
      <c r="F16" s="13">
        <v>494.37</v>
      </c>
      <c r="G16" s="13">
        <f t="shared" si="1"/>
        <v>24632.286995515693</v>
      </c>
      <c r="I16" s="24">
        <v>45069</v>
      </c>
      <c r="J16" s="21">
        <v>494.37</v>
      </c>
      <c r="K16" s="21"/>
      <c r="L16" s="21"/>
      <c r="M16" s="21"/>
      <c r="N16" s="21"/>
      <c r="O16" s="21"/>
      <c r="U16" s="37"/>
    </row>
    <row r="17" spans="1:29" x14ac:dyDescent="0.2">
      <c r="A17" s="11">
        <v>45075</v>
      </c>
      <c r="B17" s="12" t="s">
        <v>11</v>
      </c>
      <c r="C17" s="12" t="s">
        <v>12</v>
      </c>
      <c r="D17" s="12" t="s">
        <v>32</v>
      </c>
      <c r="E17" s="13">
        <f>0.00773</f>
        <v>7.7299999999999999E-3</v>
      </c>
      <c r="F17" s="13">
        <v>190.41</v>
      </c>
      <c r="G17" s="13">
        <f t="shared" si="1"/>
        <v>24632.600258732211</v>
      </c>
      <c r="I17" s="24">
        <v>45075</v>
      </c>
      <c r="J17" s="21">
        <v>190.41</v>
      </c>
      <c r="K17" s="21"/>
      <c r="L17" s="21"/>
      <c r="M17" s="21"/>
      <c r="N17" s="21"/>
      <c r="O17" s="21"/>
    </row>
    <row r="18" spans="1:29" ht="16" x14ac:dyDescent="0.2">
      <c r="A18" s="11">
        <v>45086</v>
      </c>
      <c r="B18" s="12" t="s">
        <v>11</v>
      </c>
      <c r="C18" s="12" t="s">
        <v>12</v>
      </c>
      <c r="D18" s="12" t="s">
        <v>32</v>
      </c>
      <c r="E18" s="13">
        <f>0.02184699</f>
        <v>2.184699E-2</v>
      </c>
      <c r="F18" s="13">
        <v>540</v>
      </c>
      <c r="G18" s="13">
        <f t="shared" si="1"/>
        <v>24717.363810758368</v>
      </c>
      <c r="I18" s="24">
        <v>45086</v>
      </c>
      <c r="J18" s="21">
        <v>540</v>
      </c>
      <c r="K18" s="21"/>
      <c r="L18" s="21"/>
      <c r="M18" s="21"/>
      <c r="N18" s="21"/>
      <c r="O18" s="21"/>
      <c r="U18" s="37"/>
    </row>
    <row r="19" spans="1:29" x14ac:dyDescent="0.2">
      <c r="A19" s="11">
        <v>45092</v>
      </c>
      <c r="B19" s="12" t="s">
        <v>11</v>
      </c>
      <c r="C19" s="12" t="s">
        <v>12</v>
      </c>
      <c r="D19" s="12" t="s">
        <v>32</v>
      </c>
      <c r="E19" s="13">
        <f>0.0341714</f>
        <v>3.4171399999999998E-2</v>
      </c>
      <c r="F19" s="13">
        <v>788.19</v>
      </c>
      <c r="G19" s="13">
        <f t="shared" si="1"/>
        <v>23065.780155334582</v>
      </c>
      <c r="I19" s="24">
        <v>45092</v>
      </c>
      <c r="J19" s="21">
        <v>788.19</v>
      </c>
      <c r="K19" s="21"/>
      <c r="L19" s="21"/>
      <c r="M19" s="21"/>
      <c r="N19" s="21"/>
      <c r="O19" s="21"/>
      <c r="T19" s="38"/>
      <c r="AA19" s="39"/>
      <c r="AB19" s="39"/>
      <c r="AC19" s="39"/>
    </row>
    <row r="20" spans="1:29" ht="16" x14ac:dyDescent="0.2">
      <c r="A20" s="11">
        <v>45097</v>
      </c>
      <c r="B20" s="12" t="s">
        <v>11</v>
      </c>
      <c r="C20" s="12" t="s">
        <v>12</v>
      </c>
      <c r="D20" s="12" t="s">
        <v>32</v>
      </c>
      <c r="E20" s="13">
        <f>0.03578587</f>
        <v>3.5785869999999997E-2</v>
      </c>
      <c r="F20" s="13">
        <v>900</v>
      </c>
      <c r="G20" s="13">
        <f t="shared" si="1"/>
        <v>25149.591165451617</v>
      </c>
      <c r="I20" s="24">
        <v>45097</v>
      </c>
      <c r="J20" s="21">
        <v>900</v>
      </c>
      <c r="K20" s="21"/>
      <c r="L20" s="21"/>
      <c r="M20" s="21"/>
      <c r="N20" s="21"/>
      <c r="O20" s="21"/>
      <c r="U20" s="37"/>
      <c r="Z20" s="35"/>
      <c r="AA20" s="36"/>
      <c r="AB20" s="36"/>
      <c r="AC20" s="36"/>
    </row>
    <row r="21" spans="1:29" x14ac:dyDescent="0.2">
      <c r="A21" s="11">
        <v>45111</v>
      </c>
      <c r="B21" s="12" t="s">
        <v>11</v>
      </c>
      <c r="C21" s="12" t="s">
        <v>12</v>
      </c>
      <c r="D21" s="12" t="s">
        <v>32</v>
      </c>
      <c r="E21" s="13">
        <f>0.03336516</f>
        <v>3.3365159999999998E-2</v>
      </c>
      <c r="F21" s="13">
        <v>950</v>
      </c>
      <c r="G21" s="13">
        <f t="shared" si="1"/>
        <v>28472.814157042856</v>
      </c>
      <c r="I21" s="24">
        <v>45111</v>
      </c>
      <c r="J21" s="21">
        <v>950</v>
      </c>
      <c r="K21" s="21"/>
      <c r="L21" s="21"/>
      <c r="M21" s="21"/>
      <c r="N21" s="21"/>
      <c r="O21" s="21"/>
      <c r="T21" s="38"/>
      <c r="Z21" s="35"/>
      <c r="AA21" s="36"/>
      <c r="AB21" s="36"/>
      <c r="AC21" s="40"/>
    </row>
    <row r="22" spans="1:29" ht="16" x14ac:dyDescent="0.2">
      <c r="A22" s="11">
        <v>45182</v>
      </c>
      <c r="B22" s="12" t="s">
        <v>11</v>
      </c>
      <c r="C22" s="12" t="s">
        <v>12</v>
      </c>
      <c r="D22" s="12" t="s">
        <v>32</v>
      </c>
      <c r="E22" s="13">
        <f>0.04023021</f>
        <v>4.0230210000000002E-2</v>
      </c>
      <c r="F22" s="13">
        <v>1000</v>
      </c>
      <c r="G22" s="13">
        <f t="shared" si="1"/>
        <v>24856.942084070652</v>
      </c>
      <c r="I22" s="24">
        <v>45182</v>
      </c>
      <c r="J22" s="21">
        <v>1000</v>
      </c>
      <c r="K22" s="21"/>
      <c r="L22" s="21"/>
      <c r="M22" s="21"/>
      <c r="N22" s="21"/>
      <c r="O22" s="21"/>
      <c r="U22" s="37"/>
      <c r="AA22" s="38"/>
      <c r="AB22" s="26"/>
      <c r="AC22" s="26"/>
    </row>
    <row r="23" spans="1:29" x14ac:dyDescent="0.2">
      <c r="A23" s="11">
        <v>45344</v>
      </c>
      <c r="B23" s="12" t="s">
        <v>11</v>
      </c>
      <c r="C23" s="12" t="s">
        <v>12</v>
      </c>
      <c r="D23" s="12" t="s">
        <v>32</v>
      </c>
      <c r="E23" s="13">
        <f>0.01017746+0.0001</f>
        <v>1.0277459999999999E-2</v>
      </c>
      <c r="F23" s="13">
        <v>487</v>
      </c>
      <c r="G23" s="13">
        <f t="shared" si="1"/>
        <v>47385.248884451998</v>
      </c>
      <c r="I23" s="24">
        <v>45344</v>
      </c>
      <c r="J23" s="21">
        <v>487</v>
      </c>
      <c r="K23" s="21"/>
      <c r="L23" s="21"/>
      <c r="M23" s="21"/>
      <c r="N23" s="21"/>
      <c r="O23" s="21"/>
      <c r="T23" s="38"/>
      <c r="AA23" s="26"/>
      <c r="AB23" s="26"/>
      <c r="AC23" s="26"/>
    </row>
    <row r="24" spans="1:29" x14ac:dyDescent="0.2">
      <c r="A24" s="11">
        <v>45357</v>
      </c>
      <c r="B24" s="12" t="s">
        <v>11</v>
      </c>
      <c r="C24" s="12" t="s">
        <v>35</v>
      </c>
      <c r="D24" s="12" t="s">
        <v>32</v>
      </c>
      <c r="E24" s="13">
        <v>1572.5359000000001</v>
      </c>
      <c r="F24" s="13">
        <v>1458</v>
      </c>
      <c r="G24" s="13">
        <f t="shared" si="1"/>
        <v>0.92716484246877917</v>
      </c>
      <c r="I24" s="24">
        <v>45357</v>
      </c>
      <c r="J24" s="21">
        <v>1458</v>
      </c>
      <c r="K24" s="21"/>
      <c r="L24" s="21"/>
      <c r="M24" s="21"/>
      <c r="N24" s="21"/>
      <c r="O24" s="21"/>
      <c r="AA24" s="26"/>
      <c r="AB24" s="26"/>
      <c r="AC24" s="26"/>
    </row>
    <row r="25" spans="1:29" x14ac:dyDescent="0.2">
      <c r="A25" s="11">
        <v>45373</v>
      </c>
      <c r="B25" s="12" t="s">
        <v>11</v>
      </c>
      <c r="C25" s="12" t="s">
        <v>36</v>
      </c>
      <c r="D25" s="12" t="s">
        <v>32</v>
      </c>
      <c r="E25" s="13">
        <v>10.77</v>
      </c>
      <c r="F25" s="13">
        <v>542</v>
      </c>
      <c r="G25" s="13">
        <f t="shared" si="1"/>
        <v>50.324976787372336</v>
      </c>
      <c r="I25" s="24">
        <v>45373</v>
      </c>
      <c r="J25" s="21">
        <v>1084</v>
      </c>
      <c r="K25" s="21"/>
      <c r="L25" s="21"/>
      <c r="M25" s="21"/>
      <c r="N25" s="21"/>
      <c r="O25" s="21"/>
      <c r="T25" s="38"/>
      <c r="AA25" s="26"/>
      <c r="AB25" s="26"/>
      <c r="AC25" s="26"/>
    </row>
    <row r="26" spans="1:29" ht="16" x14ac:dyDescent="0.2">
      <c r="A26" s="11">
        <v>45373</v>
      </c>
      <c r="B26" s="12" t="s">
        <v>11</v>
      </c>
      <c r="C26" s="12" t="s">
        <v>37</v>
      </c>
      <c r="D26" s="12" t="s">
        <v>32</v>
      </c>
      <c r="E26" s="13">
        <v>590</v>
      </c>
      <c r="F26" s="13">
        <v>542</v>
      </c>
      <c r="G26" s="13">
        <f t="shared" si="1"/>
        <v>0.91864406779661012</v>
      </c>
      <c r="I26" s="24">
        <v>45392</v>
      </c>
      <c r="J26" s="21">
        <v>3019</v>
      </c>
      <c r="K26" s="21"/>
      <c r="L26" s="21"/>
      <c r="M26" s="21"/>
      <c r="N26" s="21"/>
      <c r="O26" s="21"/>
      <c r="U26" s="37"/>
      <c r="AA26" s="26"/>
      <c r="AB26" s="26"/>
      <c r="AC26" s="26"/>
    </row>
    <row r="27" spans="1:29" x14ac:dyDescent="0.2">
      <c r="A27" s="11">
        <v>45392</v>
      </c>
      <c r="B27" s="12" t="s">
        <v>11</v>
      </c>
      <c r="C27" s="12" t="s">
        <v>25</v>
      </c>
      <c r="D27" s="12" t="s">
        <v>32</v>
      </c>
      <c r="E27" s="13">
        <v>0.30638960999999998</v>
      </c>
      <c r="F27" s="13">
        <v>990</v>
      </c>
      <c r="G27" s="13">
        <f t="shared" si="1"/>
        <v>3231.180065146465</v>
      </c>
      <c r="I27" s="24">
        <v>45396</v>
      </c>
      <c r="J27" s="21">
        <v>2000</v>
      </c>
      <c r="K27" s="21"/>
      <c r="L27" s="21"/>
      <c r="M27" s="21"/>
      <c r="N27" s="21"/>
      <c r="O27" s="21"/>
      <c r="T27" s="38"/>
      <c r="AA27" s="26"/>
      <c r="AB27" s="26"/>
      <c r="AC27" s="26"/>
    </row>
    <row r="28" spans="1:29" x14ac:dyDescent="0.2">
      <c r="A28" s="11">
        <v>45392</v>
      </c>
      <c r="B28" s="12" t="s">
        <v>11</v>
      </c>
      <c r="C28" s="12" t="s">
        <v>35</v>
      </c>
      <c r="D28" s="12" t="s">
        <v>32</v>
      </c>
      <c r="E28" s="13">
        <v>2165</v>
      </c>
      <c r="F28" s="13">
        <v>2029</v>
      </c>
      <c r="G28" s="13">
        <f t="shared" si="1"/>
        <v>0.9371824480369515</v>
      </c>
      <c r="I28" s="24">
        <v>45418</v>
      </c>
      <c r="J28" s="21">
        <v>4990</v>
      </c>
      <c r="K28" s="21"/>
      <c r="L28" s="21"/>
      <c r="M28" s="21"/>
      <c r="N28" s="21"/>
      <c r="O28" s="21"/>
    </row>
    <row r="29" spans="1:29" x14ac:dyDescent="0.2">
      <c r="A29" s="11">
        <v>45396</v>
      </c>
      <c r="B29" s="12" t="s">
        <v>11</v>
      </c>
      <c r="C29" s="12" t="s">
        <v>35</v>
      </c>
      <c r="D29" s="12" t="s">
        <v>32</v>
      </c>
      <c r="E29" s="13">
        <v>2091</v>
      </c>
      <c r="F29" s="13">
        <v>2000</v>
      </c>
      <c r="G29" s="13">
        <f t="shared" si="1"/>
        <v>0.95648015303682443</v>
      </c>
      <c r="I29" s="24">
        <v>45442</v>
      </c>
      <c r="J29" s="21">
        <v>990</v>
      </c>
      <c r="K29" s="21"/>
      <c r="L29" s="21"/>
      <c r="M29" s="21"/>
      <c r="N29" s="21"/>
      <c r="O29" s="21"/>
    </row>
    <row r="30" spans="1:29" x14ac:dyDescent="0.2">
      <c r="A30" s="11">
        <v>45418</v>
      </c>
      <c r="B30" s="12" t="s">
        <v>11</v>
      </c>
      <c r="C30" s="12" t="s">
        <v>35</v>
      </c>
      <c r="D30" s="12" t="s">
        <v>32</v>
      </c>
      <c r="E30" s="13">
        <v>5375</v>
      </c>
      <c r="F30" s="13">
        <v>4990</v>
      </c>
      <c r="G30" s="13">
        <f t="shared" si="1"/>
        <v>0.92837209302325585</v>
      </c>
      <c r="I30" s="24">
        <v>45447</v>
      </c>
      <c r="J30" s="21">
        <v>1495</v>
      </c>
      <c r="K30" s="21"/>
      <c r="L30" s="21"/>
      <c r="M30" s="21"/>
      <c r="N30" s="21"/>
      <c r="O30" s="21"/>
    </row>
    <row r="31" spans="1:29" x14ac:dyDescent="0.2">
      <c r="A31" s="11">
        <v>45442</v>
      </c>
      <c r="B31" s="12" t="s">
        <v>11</v>
      </c>
      <c r="C31" s="12" t="s">
        <v>12</v>
      </c>
      <c r="D31" s="12" t="s">
        <v>32</v>
      </c>
      <c r="E31" s="13">
        <v>1.5938520000000001E-2</v>
      </c>
      <c r="F31" s="13">
        <v>990</v>
      </c>
      <c r="G31" s="13">
        <f t="shared" si="1"/>
        <v>62113.671783829363</v>
      </c>
      <c r="I31" s="24">
        <v>45467</v>
      </c>
      <c r="J31" s="21">
        <v>3995</v>
      </c>
      <c r="K31" s="21"/>
      <c r="L31" s="21"/>
      <c r="M31" s="21"/>
      <c r="N31" s="21"/>
      <c r="O31" s="21"/>
    </row>
    <row r="32" spans="1:29" x14ac:dyDescent="0.2">
      <c r="A32" s="11">
        <v>45447</v>
      </c>
      <c r="B32" s="12" t="s">
        <v>11</v>
      </c>
      <c r="C32" s="12" t="s">
        <v>12</v>
      </c>
      <c r="D32" s="12" t="s">
        <v>32</v>
      </c>
      <c r="E32" s="41">
        <f>0.01173753+0.00380584</f>
        <v>1.5543369999999999E-2</v>
      </c>
      <c r="F32" s="13">
        <f>750+244</f>
        <v>994</v>
      </c>
      <c r="G32" s="13">
        <f t="shared" si="1"/>
        <v>63950.095764303369</v>
      </c>
      <c r="I32" s="24">
        <v>45477</v>
      </c>
      <c r="J32" s="21">
        <v>1800</v>
      </c>
      <c r="K32" s="21"/>
      <c r="L32" s="21"/>
      <c r="M32" s="21"/>
      <c r="N32" s="21"/>
      <c r="O32" s="21"/>
    </row>
    <row r="33" spans="1:21" x14ac:dyDescent="0.2">
      <c r="A33" s="11">
        <v>45447</v>
      </c>
      <c r="B33" s="12" t="s">
        <v>11</v>
      </c>
      <c r="C33" s="12" t="s">
        <v>12</v>
      </c>
      <c r="D33" s="12" t="s">
        <v>32</v>
      </c>
      <c r="E33" s="13">
        <f>0.14403999</f>
        <v>0.14403999000000001</v>
      </c>
      <c r="F33" s="13">
        <v>501</v>
      </c>
      <c r="G33" s="13">
        <f t="shared" si="1"/>
        <v>3478.2007413357915</v>
      </c>
      <c r="I33" s="24">
        <v>45640</v>
      </c>
      <c r="J33" s="21">
        <v>1000</v>
      </c>
      <c r="K33" s="21"/>
      <c r="L33" s="21"/>
      <c r="M33" s="21"/>
      <c r="N33" s="21"/>
      <c r="O33" s="21"/>
      <c r="T33" s="38"/>
    </row>
    <row r="34" spans="1:21" ht="16" x14ac:dyDescent="0.2">
      <c r="A34" s="11">
        <v>45467</v>
      </c>
      <c r="B34" s="12" t="s">
        <v>11</v>
      </c>
      <c r="C34" s="12" t="s">
        <v>12</v>
      </c>
      <c r="D34" s="12" t="s">
        <v>32</v>
      </c>
      <c r="E34" s="13">
        <v>2.2048539999999998E-2</v>
      </c>
      <c r="F34" s="13">
        <v>1250</v>
      </c>
      <c r="G34" s="13">
        <f t="shared" si="1"/>
        <v>56693.096232222182</v>
      </c>
      <c r="I34" s="24">
        <v>45646</v>
      </c>
      <c r="J34" s="21">
        <v>2000</v>
      </c>
      <c r="K34" s="21"/>
      <c r="L34" s="21"/>
      <c r="M34" s="21"/>
      <c r="N34" s="21"/>
      <c r="O34" s="21"/>
      <c r="U34" s="37"/>
    </row>
    <row r="35" spans="1:21" x14ac:dyDescent="0.2">
      <c r="A35" s="11">
        <v>45467</v>
      </c>
      <c r="B35" s="12" t="s">
        <v>11</v>
      </c>
      <c r="C35" s="12" t="s">
        <v>38</v>
      </c>
      <c r="D35" s="12" t="s">
        <v>32</v>
      </c>
      <c r="E35" s="13">
        <f>0.57529702+0.6923721</f>
        <v>1.2676691200000001</v>
      </c>
      <c r="F35" s="13">
        <v>2745</v>
      </c>
      <c r="G35" s="13">
        <f t="shared" si="1"/>
        <v>2165.3915494920311</v>
      </c>
      <c r="I35" s="24">
        <v>45691</v>
      </c>
      <c r="J35" s="21">
        <v>2500</v>
      </c>
      <c r="K35" s="21"/>
      <c r="L35" s="21"/>
      <c r="M35" s="21"/>
      <c r="N35" s="21"/>
      <c r="O35" s="21"/>
      <c r="T35" s="38"/>
    </row>
    <row r="36" spans="1:21" ht="16" x14ac:dyDescent="0.2">
      <c r="A36" s="11">
        <v>45477</v>
      </c>
      <c r="B36" s="12" t="s">
        <v>11</v>
      </c>
      <c r="C36" s="12" t="s">
        <v>12</v>
      </c>
      <c r="D36" s="12" t="s">
        <v>32</v>
      </c>
      <c r="E36" s="41">
        <v>3.3347229999999999E-2</v>
      </c>
      <c r="F36" s="13">
        <v>1800</v>
      </c>
      <c r="G36" s="13">
        <f t="shared" si="1"/>
        <v>53977.496781591755</v>
      </c>
      <c r="I36" s="24">
        <v>45707</v>
      </c>
      <c r="J36" s="21">
        <v>500</v>
      </c>
      <c r="K36" s="21"/>
      <c r="L36" s="21"/>
      <c r="M36" s="21"/>
      <c r="N36" s="21"/>
      <c r="O36" s="21"/>
      <c r="U36" s="37"/>
    </row>
    <row r="37" spans="1:21" x14ac:dyDescent="0.2">
      <c r="A37" s="11">
        <v>45640</v>
      </c>
      <c r="B37" s="12" t="s">
        <v>11</v>
      </c>
      <c r="C37" s="12" t="s">
        <v>25</v>
      </c>
      <c r="D37" s="12" t="s">
        <v>32</v>
      </c>
      <c r="E37" s="41">
        <v>0.27111000000000002</v>
      </c>
      <c r="F37" s="13">
        <v>1000</v>
      </c>
      <c r="G37" s="13">
        <f t="shared" si="1"/>
        <v>3688.5397071299471</v>
      </c>
      <c r="I37" s="24">
        <v>45713</v>
      </c>
      <c r="J37" s="21">
        <v>1000</v>
      </c>
      <c r="K37" s="21"/>
      <c r="L37" s="21"/>
      <c r="M37" s="21"/>
      <c r="N37" s="21"/>
      <c r="O37" s="21"/>
    </row>
    <row r="38" spans="1:21" ht="16" x14ac:dyDescent="0.2">
      <c r="A38" s="11">
        <v>45646</v>
      </c>
      <c r="B38" s="12" t="s">
        <v>11</v>
      </c>
      <c r="C38" s="12" t="s">
        <v>39</v>
      </c>
      <c r="D38" s="12" t="s">
        <v>32</v>
      </c>
      <c r="E38" s="41">
        <v>71.040000000000006</v>
      </c>
      <c r="F38" s="13">
        <v>1500</v>
      </c>
      <c r="G38" s="13">
        <f t="shared" si="1"/>
        <v>21.114864864864863</v>
      </c>
      <c r="I38" s="24">
        <v>45714</v>
      </c>
      <c r="J38" s="21">
        <v>500</v>
      </c>
      <c r="K38" s="21"/>
      <c r="L38" s="21"/>
      <c r="M38" s="21"/>
      <c r="N38" s="21"/>
      <c r="O38" s="21"/>
      <c r="U38" s="37"/>
    </row>
    <row r="39" spans="1:21" x14ac:dyDescent="0.2">
      <c r="A39" s="11">
        <v>45646</v>
      </c>
      <c r="B39" s="12" t="s">
        <v>40</v>
      </c>
      <c r="C39" s="12" t="s">
        <v>41</v>
      </c>
      <c r="D39" s="12" t="s">
        <v>32</v>
      </c>
      <c r="E39" s="41">
        <v>2.74</v>
      </c>
      <c r="F39" s="13">
        <v>500</v>
      </c>
      <c r="G39" s="13">
        <f t="shared" si="1"/>
        <v>182.48175182481751</v>
      </c>
      <c r="I39" s="24">
        <v>45716</v>
      </c>
      <c r="J39" s="21">
        <v>500</v>
      </c>
      <c r="K39" s="21"/>
      <c r="L39" s="21"/>
      <c r="M39" s="21"/>
      <c r="N39" s="21"/>
      <c r="O39" s="21"/>
    </row>
    <row r="40" spans="1:21" x14ac:dyDescent="0.2">
      <c r="A40" s="11">
        <v>45691</v>
      </c>
      <c r="B40" s="12" t="s">
        <v>40</v>
      </c>
      <c r="C40" s="12" t="s">
        <v>25</v>
      </c>
      <c r="D40" s="12" t="s">
        <v>32</v>
      </c>
      <c r="E40" s="41">
        <v>0.99399999999999999</v>
      </c>
      <c r="F40" s="13">
        <v>2500</v>
      </c>
      <c r="G40" s="13">
        <f t="shared" si="1"/>
        <v>2515.0905432595573</v>
      </c>
      <c r="I40" s="24">
        <v>45719</v>
      </c>
      <c r="J40" s="21">
        <v>500</v>
      </c>
      <c r="K40" s="21"/>
      <c r="L40" s="21"/>
      <c r="M40" s="21"/>
      <c r="N40" s="21"/>
      <c r="O40" s="21"/>
    </row>
    <row r="41" spans="1:21" x14ac:dyDescent="0.2">
      <c r="A41" s="11">
        <v>45707</v>
      </c>
      <c r="B41" s="12" t="s">
        <v>40</v>
      </c>
      <c r="C41" s="12" t="s">
        <v>12</v>
      </c>
      <c r="D41" s="12" t="s">
        <v>32</v>
      </c>
      <c r="E41" s="13">
        <v>5.4299999999999999E-3</v>
      </c>
      <c r="F41" s="13">
        <v>500</v>
      </c>
      <c r="G41" s="13">
        <f t="shared" si="1"/>
        <v>92081.031307550642</v>
      </c>
      <c r="I41" s="24">
        <v>45725</v>
      </c>
      <c r="J41" s="21">
        <v>500</v>
      </c>
      <c r="K41" s="21"/>
      <c r="L41" s="21"/>
      <c r="M41" s="21"/>
      <c r="N41" s="21"/>
      <c r="O41" s="21"/>
    </row>
    <row r="42" spans="1:21" x14ac:dyDescent="0.2">
      <c r="A42" s="11">
        <v>45713</v>
      </c>
      <c r="B42" s="12" t="s">
        <v>40</v>
      </c>
      <c r="C42" s="12" t="s">
        <v>12</v>
      </c>
      <c r="D42" s="12" t="s">
        <v>32</v>
      </c>
      <c r="E42" s="13">
        <v>1.14E-2</v>
      </c>
      <c r="F42" s="13">
        <v>1000</v>
      </c>
      <c r="G42" s="13">
        <f t="shared" si="1"/>
        <v>87719.298245614031</v>
      </c>
      <c r="I42" s="24">
        <v>45746</v>
      </c>
      <c r="J42" s="21">
        <v>3450</v>
      </c>
      <c r="K42" s="21"/>
      <c r="L42" s="21"/>
      <c r="M42" s="21"/>
      <c r="N42" s="21"/>
      <c r="O42" s="21"/>
    </row>
    <row r="43" spans="1:21" x14ac:dyDescent="0.2">
      <c r="A43" s="11">
        <v>45714</v>
      </c>
      <c r="B43" s="12" t="s">
        <v>40</v>
      </c>
      <c r="C43" s="12" t="s">
        <v>12</v>
      </c>
      <c r="D43" s="12" t="s">
        <v>32</v>
      </c>
      <c r="E43" s="13">
        <v>5.8700000000000002E-3</v>
      </c>
      <c r="F43" s="13">
        <v>500</v>
      </c>
      <c r="G43" s="13">
        <f t="shared" si="1"/>
        <v>85178.875638841564</v>
      </c>
      <c r="I43" s="24">
        <v>45779</v>
      </c>
      <c r="J43" s="21">
        <v>40</v>
      </c>
      <c r="K43" s="21"/>
      <c r="L43" s="21"/>
      <c r="M43" s="21"/>
      <c r="N43" s="21"/>
      <c r="O43" s="21"/>
    </row>
    <row r="44" spans="1:21" x14ac:dyDescent="0.2">
      <c r="A44" s="11">
        <v>45716</v>
      </c>
      <c r="B44" s="12" t="s">
        <v>40</v>
      </c>
      <c r="C44" s="12" t="s">
        <v>12</v>
      </c>
      <c r="D44" s="12" t="s">
        <v>32</v>
      </c>
      <c r="E44" s="13">
        <v>6.4799999999999996E-3</v>
      </c>
      <c r="F44" s="13">
        <v>500</v>
      </c>
      <c r="G44" s="13">
        <f t="shared" si="1"/>
        <v>77160.493827160491</v>
      </c>
      <c r="I44" s="24">
        <v>45790</v>
      </c>
      <c r="J44" s="21">
        <v>100</v>
      </c>
      <c r="K44" s="21"/>
      <c r="L44" s="21"/>
      <c r="M44" s="21"/>
      <c r="N44" s="21"/>
      <c r="O44" s="21"/>
    </row>
    <row r="45" spans="1:21" x14ac:dyDescent="0.2">
      <c r="A45" s="11">
        <v>45719</v>
      </c>
      <c r="B45" s="12" t="s">
        <v>40</v>
      </c>
      <c r="C45" s="12" t="s">
        <v>12</v>
      </c>
      <c r="D45" s="12" t="s">
        <v>32</v>
      </c>
      <c r="E45" s="13">
        <v>6.1000000000000004E-3</v>
      </c>
      <c r="F45" s="13">
        <v>500</v>
      </c>
      <c r="G45" s="13">
        <f t="shared" si="1"/>
        <v>81967.213114754093</v>
      </c>
      <c r="I45" s="24">
        <v>45837</v>
      </c>
      <c r="J45" s="21">
        <v>500</v>
      </c>
      <c r="K45" s="21"/>
      <c r="L45" s="21"/>
      <c r="M45" s="21"/>
      <c r="N45" s="21"/>
      <c r="O45" s="21"/>
    </row>
    <row r="46" spans="1:21" x14ac:dyDescent="0.2">
      <c r="A46" s="11">
        <v>45725</v>
      </c>
      <c r="B46" s="12" t="s">
        <v>40</v>
      </c>
      <c r="C46" s="12" t="s">
        <v>12</v>
      </c>
      <c r="D46" s="12" t="s">
        <v>32</v>
      </c>
      <c r="E46" s="13">
        <v>6.4599999999999996E-3</v>
      </c>
      <c r="F46" s="13">
        <v>500</v>
      </c>
      <c r="G46" s="13">
        <f t="shared" si="1"/>
        <v>77399.380804953558</v>
      </c>
      <c r="I46" s="24">
        <v>45870</v>
      </c>
      <c r="J46" s="21">
        <v>400</v>
      </c>
      <c r="K46" s="21"/>
      <c r="L46" s="21"/>
      <c r="M46" s="21"/>
      <c r="N46" s="21"/>
      <c r="O46" s="21"/>
    </row>
    <row r="47" spans="1:21" x14ac:dyDescent="0.2">
      <c r="A47" s="11">
        <v>45746</v>
      </c>
      <c r="B47" s="12" t="s">
        <v>40</v>
      </c>
      <c r="C47" s="12" t="s">
        <v>12</v>
      </c>
      <c r="D47" s="12" t="s">
        <v>32</v>
      </c>
      <c r="E47" s="13">
        <v>4.512E-2</v>
      </c>
      <c r="F47" s="13">
        <v>3450</v>
      </c>
      <c r="G47" s="13">
        <f t="shared" si="1"/>
        <v>76462.765957446813</v>
      </c>
      <c r="I47" s="24">
        <v>45898</v>
      </c>
      <c r="J47" s="21">
        <v>200</v>
      </c>
      <c r="K47" s="21"/>
      <c r="L47" s="21"/>
      <c r="M47" s="21"/>
      <c r="N47" s="21"/>
      <c r="O47" s="21"/>
    </row>
    <row r="48" spans="1:21" x14ac:dyDescent="0.2">
      <c r="A48" s="11">
        <v>45779</v>
      </c>
      <c r="B48" s="12" t="s">
        <v>40</v>
      </c>
      <c r="C48" s="12" t="s">
        <v>12</v>
      </c>
      <c r="D48" s="12" t="s">
        <v>32</v>
      </c>
      <c r="E48" s="13">
        <v>4.6000000000000001E-4</v>
      </c>
      <c r="F48" s="13">
        <v>40</v>
      </c>
      <c r="G48" s="13">
        <f t="shared" si="1"/>
        <v>86956.521739130432</v>
      </c>
      <c r="I48" s="24">
        <v>45941</v>
      </c>
      <c r="J48" s="21">
        <v>500</v>
      </c>
      <c r="K48" s="21"/>
      <c r="L48" s="21"/>
      <c r="M48" s="21"/>
      <c r="N48" s="21"/>
      <c r="O48" s="21"/>
    </row>
    <row r="49" spans="1:20" x14ac:dyDescent="0.2">
      <c r="A49" s="11">
        <v>45790</v>
      </c>
      <c r="B49" s="12" t="s">
        <v>40</v>
      </c>
      <c r="C49" s="12" t="s">
        <v>12</v>
      </c>
      <c r="D49" s="12" t="s">
        <v>32</v>
      </c>
      <c r="E49" s="13">
        <v>1.0499999999999999E-3</v>
      </c>
      <c r="F49" s="13">
        <v>100</v>
      </c>
      <c r="G49" s="13">
        <f t="shared" si="1"/>
        <v>95238.095238095237</v>
      </c>
      <c r="I49" s="24">
        <v>45959</v>
      </c>
      <c r="J49" s="21">
        <v>400</v>
      </c>
      <c r="K49" s="21"/>
      <c r="L49" s="21"/>
      <c r="M49" s="21"/>
      <c r="N49" s="21"/>
      <c r="O49" s="21"/>
      <c r="T49" s="38"/>
    </row>
    <row r="50" spans="1:20" x14ac:dyDescent="0.2">
      <c r="A50" s="11">
        <v>45837</v>
      </c>
      <c r="B50" s="12" t="s">
        <v>40</v>
      </c>
      <c r="C50" s="12" t="s">
        <v>12</v>
      </c>
      <c r="D50" s="12" t="s">
        <v>32</v>
      </c>
      <c r="E50" s="13">
        <v>5.4000000000000003E-3</v>
      </c>
      <c r="F50" s="13">
        <v>500</v>
      </c>
      <c r="G50" s="13">
        <f t="shared" si="1"/>
        <v>92592.592592592584</v>
      </c>
      <c r="I50" s="24">
        <v>45965</v>
      </c>
      <c r="J50" s="21">
        <v>480</v>
      </c>
      <c r="K50" s="21"/>
      <c r="L50" s="21"/>
      <c r="M50" s="21"/>
      <c r="N50" s="21"/>
      <c r="O50" s="21"/>
    </row>
    <row r="51" spans="1:20" x14ac:dyDescent="0.2">
      <c r="A51" s="11">
        <v>45870</v>
      </c>
      <c r="B51" s="12" t="s">
        <v>40</v>
      </c>
      <c r="C51" s="12" t="s">
        <v>12</v>
      </c>
      <c r="D51" s="12" t="s">
        <v>32</v>
      </c>
      <c r="E51" s="13">
        <v>3.9899999999999996E-3</v>
      </c>
      <c r="F51" s="13">
        <v>400</v>
      </c>
      <c r="G51" s="13">
        <f t="shared" si="1"/>
        <v>100250.62656641605</v>
      </c>
      <c r="I51" s="24">
        <v>45983</v>
      </c>
      <c r="J51" s="21">
        <v>500</v>
      </c>
      <c r="K51" s="21"/>
      <c r="L51" s="21"/>
      <c r="M51" s="21"/>
      <c r="N51" s="21"/>
      <c r="O51" s="21"/>
    </row>
    <row r="52" spans="1:20" x14ac:dyDescent="0.2">
      <c r="A52" s="11">
        <v>45898</v>
      </c>
      <c r="B52" s="12" t="s">
        <v>40</v>
      </c>
      <c r="C52" s="12" t="s">
        <v>12</v>
      </c>
      <c r="D52" s="12" t="s">
        <v>32</v>
      </c>
      <c r="E52" s="13">
        <v>2.1099999999999999E-3</v>
      </c>
      <c r="F52" s="13">
        <v>200</v>
      </c>
      <c r="G52" s="13">
        <f t="shared" si="1"/>
        <v>94786.729857819912</v>
      </c>
      <c r="I52" s="24">
        <v>45987</v>
      </c>
      <c r="J52" s="21">
        <v>510</v>
      </c>
      <c r="K52" s="21"/>
      <c r="L52" s="21"/>
      <c r="M52" s="21"/>
      <c r="N52" s="21"/>
      <c r="O52" s="21"/>
    </row>
    <row r="53" spans="1:20" x14ac:dyDescent="0.2">
      <c r="A53" s="11">
        <v>45941</v>
      </c>
      <c r="B53" s="12" t="s">
        <v>40</v>
      </c>
      <c r="C53" s="12" t="s">
        <v>12</v>
      </c>
      <c r="D53" s="12" t="s">
        <v>32</v>
      </c>
      <c r="E53" s="13">
        <v>4.9399999999999999E-3</v>
      </c>
      <c r="F53" s="13">
        <v>500</v>
      </c>
      <c r="G53" s="13">
        <f t="shared" si="1"/>
        <v>101214.57489878543</v>
      </c>
      <c r="I53" s="24">
        <v>46006</v>
      </c>
      <c r="J53" s="21">
        <v>250</v>
      </c>
      <c r="K53" s="21"/>
      <c r="L53" s="21"/>
      <c r="M53" s="21"/>
      <c r="N53" s="21"/>
      <c r="O53" s="21"/>
    </row>
    <row r="54" spans="1:20" x14ac:dyDescent="0.2">
      <c r="A54" s="11">
        <v>45959</v>
      </c>
      <c r="B54" s="12" t="s">
        <v>40</v>
      </c>
      <c r="C54" s="12" t="s">
        <v>12</v>
      </c>
      <c r="D54" s="12" t="s">
        <v>32</v>
      </c>
      <c r="E54" s="13">
        <v>4.1599999999999996E-3</v>
      </c>
      <c r="F54" s="13">
        <v>400</v>
      </c>
      <c r="G54" s="13">
        <f t="shared" si="1"/>
        <v>96153.846153846156</v>
      </c>
      <c r="I54" s="24">
        <v>46013</v>
      </c>
      <c r="J54" s="21">
        <v>1000</v>
      </c>
      <c r="K54" s="21"/>
      <c r="L54" s="21"/>
      <c r="M54" s="21"/>
      <c r="N54" s="21"/>
      <c r="O54" s="21"/>
    </row>
    <row r="55" spans="1:20" x14ac:dyDescent="0.2">
      <c r="A55" s="11">
        <v>45965</v>
      </c>
      <c r="B55" s="12" t="s">
        <v>40</v>
      </c>
      <c r="C55" s="12" t="s">
        <v>12</v>
      </c>
      <c r="D55" s="12" t="s">
        <v>32</v>
      </c>
      <c r="E55" s="13">
        <v>5.4400000000000004E-3</v>
      </c>
      <c r="F55" s="13">
        <v>480</v>
      </c>
      <c r="G55" s="13">
        <f t="shared" si="1"/>
        <v>88235.294117647049</v>
      </c>
      <c r="I55" s="24">
        <v>46020</v>
      </c>
      <c r="J55" s="21">
        <v>530</v>
      </c>
      <c r="K55" s="21"/>
      <c r="L55" s="21"/>
      <c r="M55" s="21"/>
      <c r="N55" s="21"/>
      <c r="O55" s="21"/>
    </row>
    <row r="56" spans="1:20" x14ac:dyDescent="0.2">
      <c r="A56" s="11">
        <v>45983</v>
      </c>
      <c r="B56" s="12" t="s">
        <v>40</v>
      </c>
      <c r="C56" s="12" t="s">
        <v>12</v>
      </c>
      <c r="D56" s="12" t="s">
        <v>32</v>
      </c>
      <c r="E56" s="13">
        <v>6.7799999999999996E-3</v>
      </c>
      <c r="F56" s="13">
        <v>500</v>
      </c>
      <c r="G56" s="13">
        <f t="shared" si="1"/>
        <v>73746.312684365781</v>
      </c>
      <c r="I56" s="24">
        <v>46021</v>
      </c>
      <c r="J56" s="21">
        <v>600</v>
      </c>
      <c r="K56" s="21"/>
      <c r="L56" s="21"/>
      <c r="M56" s="21"/>
      <c r="N56" s="21"/>
      <c r="O56" s="21"/>
    </row>
    <row r="57" spans="1:20" x14ac:dyDescent="0.2">
      <c r="A57" s="11">
        <v>45987</v>
      </c>
      <c r="B57" s="12" t="s">
        <v>40</v>
      </c>
      <c r="C57" s="12" t="s">
        <v>12</v>
      </c>
      <c r="D57" s="12" t="s">
        <v>32</v>
      </c>
      <c r="E57" s="13">
        <v>6.5300000000000002E-3</v>
      </c>
      <c r="F57" s="13">
        <v>510</v>
      </c>
      <c r="G57" s="13">
        <f t="shared" si="1"/>
        <v>78101.071975497704</v>
      </c>
      <c r="I57" s="24">
        <v>46024</v>
      </c>
      <c r="J57" s="21">
        <v>1700</v>
      </c>
      <c r="K57" s="21"/>
      <c r="L57" s="21"/>
      <c r="M57" s="21"/>
      <c r="N57" s="21"/>
      <c r="O57" s="21"/>
    </row>
    <row r="58" spans="1:20" x14ac:dyDescent="0.2">
      <c r="A58" s="11">
        <v>46006</v>
      </c>
      <c r="B58" s="12" t="s">
        <v>40</v>
      </c>
      <c r="C58" s="12" t="s">
        <v>12</v>
      </c>
      <c r="D58" s="12" t="s">
        <v>32</v>
      </c>
      <c r="E58" s="13">
        <v>3.3800000000000002E-3</v>
      </c>
      <c r="F58" s="13">
        <v>250</v>
      </c>
      <c r="G58" s="13">
        <f t="shared" si="1"/>
        <v>73964.497041420109</v>
      </c>
      <c r="I58" s="24">
        <v>46027</v>
      </c>
      <c r="J58" s="21">
        <v>1200</v>
      </c>
      <c r="K58" s="21"/>
      <c r="L58" s="21"/>
      <c r="M58" s="21"/>
      <c r="N58" s="21"/>
      <c r="O58" s="21"/>
    </row>
    <row r="59" spans="1:20" x14ac:dyDescent="0.2">
      <c r="A59" s="11">
        <v>46013</v>
      </c>
      <c r="B59" s="12" t="s">
        <v>40</v>
      </c>
      <c r="C59" s="12" t="s">
        <v>12</v>
      </c>
      <c r="D59" s="12" t="s">
        <v>32</v>
      </c>
      <c r="E59" s="13">
        <v>1.3050000000000001E-2</v>
      </c>
      <c r="F59" s="13">
        <v>1000</v>
      </c>
      <c r="G59" s="13">
        <f t="shared" si="1"/>
        <v>76628.352490421457</v>
      </c>
      <c r="I59" s="24">
        <v>46124</v>
      </c>
      <c r="J59" s="21">
        <v>2900</v>
      </c>
      <c r="K59" s="21"/>
      <c r="L59" s="21"/>
      <c r="M59" s="21"/>
      <c r="N59" s="21"/>
      <c r="O59" s="21"/>
    </row>
    <row r="60" spans="1:20" x14ac:dyDescent="0.2">
      <c r="A60" s="11">
        <v>46020</v>
      </c>
      <c r="B60" s="12" t="s">
        <v>40</v>
      </c>
      <c r="C60" s="12" t="s">
        <v>12</v>
      </c>
      <c r="D60" s="12" t="s">
        <v>32</v>
      </c>
      <c r="E60" s="13">
        <v>7.0699999999999999E-3</v>
      </c>
      <c r="F60" s="13">
        <v>530</v>
      </c>
      <c r="G60" s="13">
        <f t="shared" si="1"/>
        <v>74964.639321074967</v>
      </c>
      <c r="I60" s="42" t="s">
        <v>33</v>
      </c>
      <c r="J60" s="21">
        <v>54751.92</v>
      </c>
      <c r="K60" s="21"/>
      <c r="L60" s="21"/>
      <c r="M60" s="21"/>
      <c r="N60" s="21"/>
      <c r="O60" s="21"/>
    </row>
    <row r="61" spans="1:20" x14ac:dyDescent="0.2">
      <c r="A61" s="11">
        <v>46021</v>
      </c>
      <c r="B61" s="12" t="s">
        <v>40</v>
      </c>
      <c r="C61" s="12" t="s">
        <v>12</v>
      </c>
      <c r="D61" s="12" t="s">
        <v>32</v>
      </c>
      <c r="E61" s="13">
        <v>7.9900000000000006E-3</v>
      </c>
      <c r="F61" s="13">
        <v>600</v>
      </c>
      <c r="G61" s="13">
        <f t="shared" si="1"/>
        <v>75093.867334167706</v>
      </c>
    </row>
    <row r="62" spans="1:20" x14ac:dyDescent="0.2">
      <c r="A62" s="11">
        <v>46024</v>
      </c>
      <c r="B62" s="12" t="s">
        <v>40</v>
      </c>
      <c r="C62" s="12" t="s">
        <v>12</v>
      </c>
      <c r="D62" s="12" t="s">
        <v>32</v>
      </c>
      <c r="E62" s="13">
        <v>2.2120000000000001E-2</v>
      </c>
      <c r="F62" s="13">
        <v>1700</v>
      </c>
      <c r="G62" s="13">
        <f t="shared" si="1"/>
        <v>76853.526220614833</v>
      </c>
    </row>
    <row r="63" spans="1:20" x14ac:dyDescent="0.2">
      <c r="A63" s="11">
        <v>46027</v>
      </c>
      <c r="B63" s="12" t="s">
        <v>40</v>
      </c>
      <c r="C63" s="12" t="s">
        <v>12</v>
      </c>
      <c r="D63" s="12" t="s">
        <v>32</v>
      </c>
      <c r="E63" s="13">
        <v>1.482E-2</v>
      </c>
      <c r="F63" s="13">
        <v>1200</v>
      </c>
      <c r="G63" s="13">
        <f t="shared" si="1"/>
        <v>80971.659919028345</v>
      </c>
    </row>
    <row r="64" spans="1:20" x14ac:dyDescent="0.2">
      <c r="A64" s="11">
        <v>46124</v>
      </c>
      <c r="B64" s="12" t="s">
        <v>40</v>
      </c>
      <c r="C64" s="12" t="s">
        <v>12</v>
      </c>
      <c r="D64" s="12" t="s">
        <v>32</v>
      </c>
      <c r="E64" s="13">
        <v>4.7129999999999998E-2</v>
      </c>
      <c r="F64" s="13">
        <v>2900</v>
      </c>
      <c r="G64" s="13">
        <f t="shared" si="1"/>
        <v>61531.932951410992</v>
      </c>
    </row>
  </sheetData>
  <autoFilter ref="A1:G66" xr:uid="{3CECEF81-A7A9-4353-BCC9-043986687216}">
    <sortState xmlns:xlrd2="http://schemas.microsoft.com/office/spreadsheetml/2017/richdata2" ref="A2:G66">
      <sortCondition ref="A1:A66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CRYPTO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 SOLAL Olivier (ENGIE SA)</dc:creator>
  <cp:lastModifiedBy>COHEN SOLAL Olivier (ENGIE SA)</cp:lastModifiedBy>
  <dcterms:created xsi:type="dcterms:W3CDTF">2026-05-28T09:48:12Z</dcterms:created>
  <dcterms:modified xsi:type="dcterms:W3CDTF">2026-05-28T09:48:44Z</dcterms:modified>
</cp:coreProperties>
</file>